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ese\WordleTracking\"/>
    </mc:Choice>
  </mc:AlternateContent>
  <xr:revisionPtr revIDLastSave="0" documentId="13_ncr:1_{4798DE5F-5106-4518-81DF-2795ED61BD12}" xr6:coauthVersionLast="47" xr6:coauthVersionMax="47" xr10:uidLastSave="{00000000-0000-0000-0000-000000000000}"/>
  <bookViews>
    <workbookView xWindow="-120" yWindow="-120" windowWidth="29040" windowHeight="15840" xr2:uid="{F705EBF7-AD41-4B67-999F-6C40503692F5}"/>
  </bookViews>
  <sheets>
    <sheet name="Results" sheetId="1" r:id="rId1"/>
    <sheet name="Words" sheetId="2" r:id="rId2"/>
  </sheets>
  <definedNames>
    <definedName name="_xlnm._FilterDatabase" localSheetId="0" hidden="1">Results!$A$1:$E$143</definedName>
    <definedName name="wordle_dates">OFFSET(Words!$A$2,,,COUNTA(Words!$A:$A)-1)</definedName>
    <definedName name="wordle_ids">OFFSET(Words!$B$2,,,COUNTA(Words!$B:$B)-1)</definedName>
    <definedName name="wordles">OFFSET(Words!$C$2,,,COUNTA(Words!$B:$B)-1)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03" i="1" l="1"/>
  <c r="A205" i="1"/>
  <c r="A206" i="1"/>
  <c r="C207" i="1"/>
  <c r="B24" i="2"/>
  <c r="A24" i="2"/>
  <c r="A23" i="2"/>
  <c r="B23" i="2"/>
  <c r="A22" i="2"/>
  <c r="B22" i="2"/>
  <c r="A21" i="2"/>
  <c r="B21" i="2"/>
  <c r="A22" i="1"/>
  <c r="A31" i="1" s="1"/>
  <c r="A40" i="1" s="1"/>
  <c r="A49" i="1" s="1"/>
  <c r="A58" i="1" s="1"/>
  <c r="A67" i="1" s="1"/>
  <c r="A76" i="1" s="1"/>
  <c r="A85" i="1" s="1"/>
  <c r="A94" i="1" s="1"/>
  <c r="A103" i="1" s="1"/>
  <c r="A112" i="1" s="1"/>
  <c r="A121" i="1" s="1"/>
  <c r="A130" i="1" s="1"/>
  <c r="A139" i="1" s="1"/>
  <c r="A148" i="1" s="1"/>
  <c r="A157" i="1" s="1"/>
  <c r="A166" i="1" s="1"/>
  <c r="A175" i="1" s="1"/>
  <c r="A184" i="1" s="1"/>
  <c r="A193" i="1" s="1"/>
  <c r="A202" i="1" s="1"/>
  <c r="C19" i="1"/>
  <c r="C28" i="1" s="1"/>
  <c r="C37" i="1" s="1"/>
  <c r="C46" i="1" s="1"/>
  <c r="C55" i="1" s="1"/>
  <c r="C64" i="1" s="1"/>
  <c r="C73" i="1" s="1"/>
  <c r="C82" i="1" s="1"/>
  <c r="C91" i="1" s="1"/>
  <c r="C100" i="1" s="1"/>
  <c r="C109" i="1" s="1"/>
  <c r="C118" i="1" s="1"/>
  <c r="C127" i="1" s="1"/>
  <c r="C136" i="1" s="1"/>
  <c r="C145" i="1" s="1"/>
  <c r="C154" i="1" s="1"/>
  <c r="C163" i="1" s="1"/>
  <c r="C172" i="1" s="1"/>
  <c r="C181" i="1" s="1"/>
  <c r="C190" i="1" s="1"/>
  <c r="C199" i="1" s="1"/>
  <c r="C208" i="1" s="1"/>
  <c r="B19" i="1"/>
  <c r="A19" i="1"/>
  <c r="A28" i="1" s="1"/>
  <c r="A37" i="1" s="1"/>
  <c r="A46" i="1" s="1"/>
  <c r="A55" i="1" s="1"/>
  <c r="A64" i="1" s="1"/>
  <c r="A73" i="1" s="1"/>
  <c r="A82" i="1" s="1"/>
  <c r="A91" i="1" s="1"/>
  <c r="A100" i="1" s="1"/>
  <c r="A109" i="1" s="1"/>
  <c r="A118" i="1" s="1"/>
  <c r="A127" i="1" s="1"/>
  <c r="A136" i="1" s="1"/>
  <c r="A145" i="1" s="1"/>
  <c r="A154" i="1" s="1"/>
  <c r="A163" i="1" s="1"/>
  <c r="A172" i="1" s="1"/>
  <c r="A181" i="1" s="1"/>
  <c r="A190" i="1" s="1"/>
  <c r="A199" i="1" s="1"/>
  <c r="A208" i="1" s="1"/>
  <c r="C18" i="1"/>
  <c r="C27" i="1" s="1"/>
  <c r="C36" i="1" s="1"/>
  <c r="C45" i="1" s="1"/>
  <c r="C54" i="1" s="1"/>
  <c r="C63" i="1" s="1"/>
  <c r="C72" i="1" s="1"/>
  <c r="C81" i="1" s="1"/>
  <c r="C90" i="1" s="1"/>
  <c r="C99" i="1" s="1"/>
  <c r="C108" i="1" s="1"/>
  <c r="C117" i="1" s="1"/>
  <c r="C126" i="1" s="1"/>
  <c r="C135" i="1" s="1"/>
  <c r="C144" i="1" s="1"/>
  <c r="C153" i="1" s="1"/>
  <c r="C162" i="1" s="1"/>
  <c r="C171" i="1" s="1"/>
  <c r="C180" i="1" s="1"/>
  <c r="C189" i="1" s="1"/>
  <c r="C198" i="1" s="1"/>
  <c r="B18" i="1"/>
  <c r="A18" i="1"/>
  <c r="A27" i="1" s="1"/>
  <c r="A36" i="1" s="1"/>
  <c r="A45" i="1" s="1"/>
  <c r="A54" i="1" s="1"/>
  <c r="A63" i="1" s="1"/>
  <c r="A72" i="1" s="1"/>
  <c r="A81" i="1" s="1"/>
  <c r="A90" i="1" s="1"/>
  <c r="A99" i="1" s="1"/>
  <c r="A108" i="1" s="1"/>
  <c r="A117" i="1" s="1"/>
  <c r="A126" i="1" s="1"/>
  <c r="A135" i="1" s="1"/>
  <c r="A144" i="1" s="1"/>
  <c r="A153" i="1" s="1"/>
  <c r="A162" i="1" s="1"/>
  <c r="A171" i="1" s="1"/>
  <c r="A180" i="1" s="1"/>
  <c r="A189" i="1" s="1"/>
  <c r="A198" i="1" s="1"/>
  <c r="A207" i="1" s="1"/>
  <c r="A18" i="2"/>
  <c r="A19" i="2" s="1"/>
  <c r="A20" i="2" s="1"/>
  <c r="B18" i="2"/>
  <c r="B19" i="2" s="1"/>
  <c r="A17" i="1"/>
  <c r="A26" i="1" s="1"/>
  <c r="A35" i="1" s="1"/>
  <c r="A44" i="1" s="1"/>
  <c r="A53" i="1" s="1"/>
  <c r="A62" i="1" s="1"/>
  <c r="A71" i="1" s="1"/>
  <c r="A80" i="1" s="1"/>
  <c r="A89" i="1" s="1"/>
  <c r="A98" i="1" s="1"/>
  <c r="A107" i="1" s="1"/>
  <c r="A116" i="1" s="1"/>
  <c r="A125" i="1" s="1"/>
  <c r="A134" i="1" s="1"/>
  <c r="A143" i="1" s="1"/>
  <c r="A152" i="1" s="1"/>
  <c r="A161" i="1" s="1"/>
  <c r="A170" i="1" s="1"/>
  <c r="A179" i="1" s="1"/>
  <c r="A188" i="1" s="1"/>
  <c r="A197" i="1" s="1"/>
  <c r="B17" i="1"/>
  <c r="B26" i="1" s="1"/>
  <c r="C17" i="1"/>
  <c r="C26" i="1" s="1"/>
  <c r="C35" i="1" s="1"/>
  <c r="C44" i="1" s="1"/>
  <c r="C53" i="1" s="1"/>
  <c r="C62" i="1" s="1"/>
  <c r="C71" i="1" s="1"/>
  <c r="C80" i="1" s="1"/>
  <c r="C89" i="1" s="1"/>
  <c r="C98" i="1" s="1"/>
  <c r="C107" i="1" s="1"/>
  <c r="C116" i="1" s="1"/>
  <c r="C125" i="1" s="1"/>
  <c r="C134" i="1" s="1"/>
  <c r="C143" i="1" s="1"/>
  <c r="C152" i="1" s="1"/>
  <c r="C161" i="1" s="1"/>
  <c r="C170" i="1" s="1"/>
  <c r="C179" i="1" s="1"/>
  <c r="C188" i="1" s="1"/>
  <c r="C197" i="1" s="1"/>
  <c r="C206" i="1" s="1"/>
  <c r="A17" i="2"/>
  <c r="B17" i="2"/>
  <c r="A16" i="1"/>
  <c r="A25" i="1" s="1"/>
  <c r="A34" i="1" s="1"/>
  <c r="A43" i="1" s="1"/>
  <c r="A52" i="1" s="1"/>
  <c r="A61" i="1" s="1"/>
  <c r="A70" i="1" s="1"/>
  <c r="A79" i="1" s="1"/>
  <c r="A88" i="1" s="1"/>
  <c r="A97" i="1" s="1"/>
  <c r="A106" i="1" s="1"/>
  <c r="A115" i="1" s="1"/>
  <c r="A124" i="1" s="1"/>
  <c r="A133" i="1" s="1"/>
  <c r="A142" i="1" s="1"/>
  <c r="A151" i="1" s="1"/>
  <c r="A160" i="1" s="1"/>
  <c r="A169" i="1" s="1"/>
  <c r="A178" i="1" s="1"/>
  <c r="A187" i="1" s="1"/>
  <c r="A196" i="1" s="1"/>
  <c r="A15" i="1"/>
  <c r="A24" i="1" s="1"/>
  <c r="A33" i="1" s="1"/>
  <c r="A42" i="1" s="1"/>
  <c r="A51" i="1" s="1"/>
  <c r="A60" i="1" s="1"/>
  <c r="A69" i="1" s="1"/>
  <c r="A78" i="1" s="1"/>
  <c r="A87" i="1" s="1"/>
  <c r="A96" i="1" s="1"/>
  <c r="A105" i="1" s="1"/>
  <c r="A114" i="1" s="1"/>
  <c r="A123" i="1" s="1"/>
  <c r="A132" i="1" s="1"/>
  <c r="A141" i="1" s="1"/>
  <c r="A150" i="1" s="1"/>
  <c r="A159" i="1" s="1"/>
  <c r="A168" i="1" s="1"/>
  <c r="A177" i="1" s="1"/>
  <c r="A186" i="1" s="1"/>
  <c r="A195" i="1" s="1"/>
  <c r="A204" i="1" s="1"/>
  <c r="A14" i="1"/>
  <c r="A23" i="1" s="1"/>
  <c r="A32" i="1" s="1"/>
  <c r="A41" i="1" s="1"/>
  <c r="A50" i="1" s="1"/>
  <c r="A59" i="1" s="1"/>
  <c r="A68" i="1" s="1"/>
  <c r="A77" i="1" s="1"/>
  <c r="A86" i="1" s="1"/>
  <c r="A95" i="1" s="1"/>
  <c r="A104" i="1" s="1"/>
  <c r="A113" i="1" s="1"/>
  <c r="A122" i="1" s="1"/>
  <c r="A131" i="1" s="1"/>
  <c r="A140" i="1" s="1"/>
  <c r="A149" i="1" s="1"/>
  <c r="A158" i="1" s="1"/>
  <c r="A167" i="1" s="1"/>
  <c r="A176" i="1" s="1"/>
  <c r="A185" i="1" s="1"/>
  <c r="A194" i="1" s="1"/>
  <c r="A13" i="1"/>
  <c r="A12" i="1"/>
  <c r="A21" i="1" s="1"/>
  <c r="A30" i="1" s="1"/>
  <c r="A39" i="1" s="1"/>
  <c r="A48" i="1" s="1"/>
  <c r="A57" i="1" s="1"/>
  <c r="A66" i="1" s="1"/>
  <c r="A75" i="1" s="1"/>
  <c r="A84" i="1" s="1"/>
  <c r="A93" i="1" s="1"/>
  <c r="A102" i="1" s="1"/>
  <c r="A111" i="1" s="1"/>
  <c r="A120" i="1" s="1"/>
  <c r="A129" i="1" s="1"/>
  <c r="A138" i="1" s="1"/>
  <c r="A147" i="1" s="1"/>
  <c r="A156" i="1" s="1"/>
  <c r="A165" i="1" s="1"/>
  <c r="A174" i="1" s="1"/>
  <c r="A183" i="1" s="1"/>
  <c r="A192" i="1" s="1"/>
  <c r="A201" i="1" s="1"/>
  <c r="A11" i="1"/>
  <c r="A20" i="1" s="1"/>
  <c r="A29" i="1" s="1"/>
  <c r="A38" i="1" s="1"/>
  <c r="A47" i="1" s="1"/>
  <c r="A56" i="1" s="1"/>
  <c r="A65" i="1" s="1"/>
  <c r="A74" i="1" s="1"/>
  <c r="A83" i="1" s="1"/>
  <c r="A92" i="1" s="1"/>
  <c r="A101" i="1" s="1"/>
  <c r="A110" i="1" s="1"/>
  <c r="A119" i="1" s="1"/>
  <c r="A128" i="1" s="1"/>
  <c r="A137" i="1" s="1"/>
  <c r="A146" i="1" s="1"/>
  <c r="A155" i="1" s="1"/>
  <c r="A164" i="1" s="1"/>
  <c r="A173" i="1" s="1"/>
  <c r="A182" i="1" s="1"/>
  <c r="A191" i="1" s="1"/>
  <c r="A200" i="1" s="1"/>
  <c r="B14" i="1"/>
  <c r="B23" i="1" s="1"/>
  <c r="C14" i="1"/>
  <c r="C23" i="1" s="1"/>
  <c r="C32" i="1" s="1"/>
  <c r="C41" i="1" s="1"/>
  <c r="C50" i="1" s="1"/>
  <c r="C59" i="1" s="1"/>
  <c r="C68" i="1" s="1"/>
  <c r="C77" i="1" s="1"/>
  <c r="C86" i="1" s="1"/>
  <c r="C95" i="1" s="1"/>
  <c r="C104" i="1" s="1"/>
  <c r="C113" i="1" s="1"/>
  <c r="C122" i="1" s="1"/>
  <c r="C131" i="1" s="1"/>
  <c r="C140" i="1" s="1"/>
  <c r="C149" i="1" s="1"/>
  <c r="C158" i="1" s="1"/>
  <c r="C167" i="1" s="1"/>
  <c r="C176" i="1" s="1"/>
  <c r="C185" i="1" s="1"/>
  <c r="C194" i="1" s="1"/>
  <c r="C203" i="1" s="1"/>
  <c r="B15" i="1"/>
  <c r="B24" i="1" s="1"/>
  <c r="C15" i="1"/>
  <c r="C24" i="1" s="1"/>
  <c r="C33" i="1" s="1"/>
  <c r="C42" i="1" s="1"/>
  <c r="C51" i="1" s="1"/>
  <c r="C60" i="1" s="1"/>
  <c r="C69" i="1" s="1"/>
  <c r="C78" i="1" s="1"/>
  <c r="C87" i="1" s="1"/>
  <c r="C96" i="1" s="1"/>
  <c r="C105" i="1" s="1"/>
  <c r="C114" i="1" s="1"/>
  <c r="C123" i="1" s="1"/>
  <c r="C132" i="1" s="1"/>
  <c r="C141" i="1" s="1"/>
  <c r="C150" i="1" s="1"/>
  <c r="C159" i="1" s="1"/>
  <c r="C168" i="1" s="1"/>
  <c r="C177" i="1" s="1"/>
  <c r="C186" i="1" s="1"/>
  <c r="C195" i="1" s="1"/>
  <c r="C204" i="1" s="1"/>
  <c r="B16" i="1"/>
  <c r="B25" i="1" s="1"/>
  <c r="C16" i="1"/>
  <c r="C25" i="1" s="1"/>
  <c r="C34" i="1" s="1"/>
  <c r="C43" i="1" s="1"/>
  <c r="C52" i="1" s="1"/>
  <c r="C61" i="1" s="1"/>
  <c r="C70" i="1" s="1"/>
  <c r="C79" i="1" s="1"/>
  <c r="C88" i="1" s="1"/>
  <c r="C97" i="1" s="1"/>
  <c r="C106" i="1" s="1"/>
  <c r="C115" i="1" s="1"/>
  <c r="C124" i="1" s="1"/>
  <c r="C133" i="1" s="1"/>
  <c r="C142" i="1" s="1"/>
  <c r="C151" i="1" s="1"/>
  <c r="C160" i="1" s="1"/>
  <c r="C169" i="1" s="1"/>
  <c r="C178" i="1" s="1"/>
  <c r="C187" i="1" s="1"/>
  <c r="C196" i="1" s="1"/>
  <c r="C205" i="1" s="1"/>
  <c r="C13" i="1"/>
  <c r="C22" i="1" s="1"/>
  <c r="C31" i="1" s="1"/>
  <c r="C40" i="1" s="1"/>
  <c r="C49" i="1" s="1"/>
  <c r="C58" i="1" s="1"/>
  <c r="C67" i="1" s="1"/>
  <c r="C76" i="1" s="1"/>
  <c r="C85" i="1" s="1"/>
  <c r="C94" i="1" s="1"/>
  <c r="C103" i="1" s="1"/>
  <c r="C112" i="1" s="1"/>
  <c r="C121" i="1" s="1"/>
  <c r="C130" i="1" s="1"/>
  <c r="C139" i="1" s="1"/>
  <c r="C148" i="1" s="1"/>
  <c r="C157" i="1" s="1"/>
  <c r="C166" i="1" s="1"/>
  <c r="C175" i="1" s="1"/>
  <c r="C184" i="1" s="1"/>
  <c r="C193" i="1" s="1"/>
  <c r="C202" i="1" s="1"/>
  <c r="B13" i="1"/>
  <c r="B22" i="1" s="1"/>
  <c r="C12" i="1"/>
  <c r="C21" i="1" s="1"/>
  <c r="C30" i="1" s="1"/>
  <c r="C39" i="1" s="1"/>
  <c r="C48" i="1" s="1"/>
  <c r="C57" i="1" s="1"/>
  <c r="C66" i="1" s="1"/>
  <c r="C75" i="1" s="1"/>
  <c r="C84" i="1" s="1"/>
  <c r="C93" i="1" s="1"/>
  <c r="C102" i="1" s="1"/>
  <c r="C111" i="1" s="1"/>
  <c r="C120" i="1" s="1"/>
  <c r="C129" i="1" s="1"/>
  <c r="C138" i="1" s="1"/>
  <c r="C147" i="1" s="1"/>
  <c r="C156" i="1" s="1"/>
  <c r="C165" i="1" s="1"/>
  <c r="C174" i="1" s="1"/>
  <c r="C183" i="1" s="1"/>
  <c r="C192" i="1" s="1"/>
  <c r="C201" i="1" s="1"/>
  <c r="B12" i="1"/>
  <c r="B21" i="1" s="1"/>
  <c r="C11" i="1"/>
  <c r="C20" i="1" s="1"/>
  <c r="C29" i="1" s="1"/>
  <c r="C38" i="1" s="1"/>
  <c r="C47" i="1" s="1"/>
  <c r="C56" i="1" s="1"/>
  <c r="C65" i="1" s="1"/>
  <c r="C74" i="1" s="1"/>
  <c r="C83" i="1" s="1"/>
  <c r="C92" i="1" s="1"/>
  <c r="C101" i="1" s="1"/>
  <c r="C110" i="1" s="1"/>
  <c r="C119" i="1" s="1"/>
  <c r="C128" i="1" s="1"/>
  <c r="C137" i="1" s="1"/>
  <c r="C146" i="1" s="1"/>
  <c r="C155" i="1" s="1"/>
  <c r="C164" i="1" s="1"/>
  <c r="C173" i="1" s="1"/>
  <c r="C182" i="1" s="1"/>
  <c r="C191" i="1" s="1"/>
  <c r="C200" i="1" s="1"/>
  <c r="B11" i="1"/>
  <c r="B20" i="1" s="1"/>
  <c r="A14" i="2"/>
  <c r="A15" i="2" s="1"/>
  <c r="A16" i="2" s="1"/>
  <c r="B14" i="2"/>
  <c r="B15" i="2" s="1"/>
  <c r="B13" i="2"/>
  <c r="A13" i="2"/>
  <c r="A12" i="2"/>
  <c r="B12" i="2"/>
  <c r="A11" i="2"/>
  <c r="B11" i="2"/>
  <c r="B10" i="2"/>
  <c r="A10" i="2"/>
  <c r="B9" i="2"/>
  <c r="A9" i="2"/>
  <c r="B8" i="2"/>
  <c r="A8" i="2"/>
  <c r="B3" i="2"/>
  <c r="B4" i="2" s="1"/>
  <c r="A4" i="2"/>
  <c r="A5" i="2" s="1"/>
  <c r="A6" i="2" s="1"/>
  <c r="A7" i="2" s="1"/>
  <c r="A3" i="2"/>
  <c r="D9" i="1" l="1" a="1"/>
  <c r="D9" i="1" s="1"/>
  <c r="D10" i="1" a="1"/>
  <c r="D10" i="1" s="1"/>
  <c r="D18" i="1" a="1"/>
  <c r="D18" i="1" s="1"/>
  <c r="D24" i="1" a="1"/>
  <c r="D24" i="1" s="1"/>
  <c r="D19" i="1" a="1"/>
  <c r="D19" i="1" s="1"/>
  <c r="D20" i="1" a="1"/>
  <c r="D20" i="1" s="1"/>
  <c r="D23" i="1" a="1"/>
  <c r="D23" i="1" s="1"/>
  <c r="B32" i="1"/>
  <c r="D32" i="1" s="1" a="1"/>
  <c r="D32" i="1" s="1"/>
  <c r="D21" i="1" a="1"/>
  <c r="D21" i="1" s="1"/>
  <c r="B30" i="1"/>
  <c r="B31" i="1"/>
  <c r="B40" i="1" s="1"/>
  <c r="D22" i="1" a="1"/>
  <c r="D22" i="1" s="1"/>
  <c r="B34" i="1"/>
  <c r="D25" i="1" a="1"/>
  <c r="D25" i="1" s="1"/>
  <c r="B35" i="1"/>
  <c r="D35" i="1" s="1" a="1"/>
  <c r="D35" i="1" s="1"/>
  <c r="D26" i="1" a="1"/>
  <c r="D26" i="1" s="1"/>
  <c r="B27" i="1"/>
  <c r="D27" i="1" s="1" a="1"/>
  <c r="D27" i="1" s="1"/>
  <c r="B28" i="1"/>
  <c r="B29" i="1"/>
  <c r="B33" i="1"/>
  <c r="B20" i="2"/>
  <c r="D8" i="1" a="1"/>
  <c r="D8" i="1" s="1"/>
  <c r="D5" i="1" a="1"/>
  <c r="D5" i="1" s="1"/>
  <c r="D17" i="1" a="1"/>
  <c r="D17" i="1" s="1"/>
  <c r="D6" i="1" a="1"/>
  <c r="D6" i="1" s="1"/>
  <c r="D7" i="1" a="1"/>
  <c r="D7" i="1" s="1"/>
  <c r="D14" i="1" a="1"/>
  <c r="D14" i="1" s="1"/>
  <c r="D15" i="1" a="1"/>
  <c r="D15" i="1" s="1"/>
  <c r="D16" i="1" a="1"/>
  <c r="D16" i="1" s="1"/>
  <c r="B16" i="2"/>
  <c r="B5" i="2"/>
  <c r="B6" i="2" s="1"/>
  <c r="B7" i="2" s="1"/>
  <c r="D11" i="1" a="1"/>
  <c r="D11" i="1" s="1"/>
  <c r="D4" i="1" a="1"/>
  <c r="D4" i="1" s="1"/>
  <c r="D3" i="1" a="1"/>
  <c r="D3" i="1" s="1"/>
  <c r="D31" i="1" l="1" a="1"/>
  <c r="D31" i="1" s="1"/>
  <c r="B44" i="1"/>
  <c r="D44" i="1" s="1" a="1"/>
  <c r="D44" i="1" s="1"/>
  <c r="B43" i="1"/>
  <c r="D34" i="1" a="1"/>
  <c r="D34" i="1" s="1"/>
  <c r="B41" i="1"/>
  <c r="B50" i="1" s="1"/>
  <c r="B36" i="1"/>
  <c r="D36" i="1" s="1" a="1"/>
  <c r="D36" i="1" s="1"/>
  <c r="B39" i="1"/>
  <c r="D30" i="1" a="1"/>
  <c r="D30" i="1" s="1"/>
  <c r="B38" i="1"/>
  <c r="D29" i="1" a="1"/>
  <c r="D29" i="1" s="1"/>
  <c r="B37" i="1"/>
  <c r="D28" i="1" a="1"/>
  <c r="D28" i="1" s="1"/>
  <c r="B53" i="1"/>
  <c r="D41" i="1" a="1"/>
  <c r="D41" i="1" s="1"/>
  <c r="B42" i="1"/>
  <c r="D33" i="1" a="1"/>
  <c r="D33" i="1" s="1"/>
  <c r="B45" i="1"/>
  <c r="D40" i="1" a="1"/>
  <c r="D40" i="1" s="1"/>
  <c r="B49" i="1"/>
  <c r="D12" i="1" a="1"/>
  <c r="D12" i="1" s="1"/>
  <c r="D2" i="1" a="1"/>
  <c r="D2" i="1" s="1"/>
  <c r="D13" i="1" a="1"/>
  <c r="D13" i="1" s="1"/>
  <c r="B52" i="1" l="1"/>
  <c r="D43" i="1" a="1"/>
  <c r="D43" i="1" s="1"/>
  <c r="D39" i="1" a="1"/>
  <c r="D39" i="1" s="1"/>
  <c r="B48" i="1"/>
  <c r="B58" i="1"/>
  <c r="D49" i="1" a="1"/>
  <c r="D49" i="1" s="1"/>
  <c r="B54" i="1"/>
  <c r="D45" i="1" a="1"/>
  <c r="D45" i="1" s="1"/>
  <c r="B62" i="1"/>
  <c r="D53" i="1" a="1"/>
  <c r="D53" i="1" s="1"/>
  <c r="D50" i="1" a="1"/>
  <c r="D50" i="1" s="1"/>
  <c r="B59" i="1"/>
  <c r="D42" i="1" a="1"/>
  <c r="D42" i="1" s="1"/>
  <c r="B51" i="1"/>
  <c r="B46" i="1"/>
  <c r="D37" i="1" a="1"/>
  <c r="D37" i="1" s="1"/>
  <c r="D38" i="1" a="1"/>
  <c r="D38" i="1" s="1"/>
  <c r="B47" i="1"/>
  <c r="D48" i="1" l="1" a="1"/>
  <c r="D48" i="1" s="1"/>
  <c r="B57" i="1"/>
  <c r="D52" i="1" a="1"/>
  <c r="D52" i="1" s="1"/>
  <c r="B61" i="1"/>
  <c r="B56" i="1"/>
  <c r="D47" i="1" a="1"/>
  <c r="D47" i="1" s="1"/>
  <c r="B60" i="1"/>
  <c r="D51" i="1" a="1"/>
  <c r="D51" i="1" s="1"/>
  <c r="D62" i="1" a="1"/>
  <c r="D62" i="1" s="1"/>
  <c r="B71" i="1"/>
  <c r="B68" i="1"/>
  <c r="D59" i="1" a="1"/>
  <c r="D59" i="1" s="1"/>
  <c r="D58" i="1" a="1"/>
  <c r="D58" i="1" s="1"/>
  <c r="B67" i="1"/>
  <c r="D46" i="1" a="1"/>
  <c r="D46" i="1" s="1"/>
  <c r="B55" i="1"/>
  <c r="D54" i="1" a="1"/>
  <c r="D54" i="1" s="1"/>
  <c r="B63" i="1"/>
  <c r="D57" i="1" l="1" a="1"/>
  <c r="D57" i="1" s="1"/>
  <c r="B66" i="1"/>
  <c r="B70" i="1"/>
  <c r="D61" i="1" a="1"/>
  <c r="D61" i="1" s="1"/>
  <c r="B77" i="1"/>
  <c r="D68" i="1" a="1"/>
  <c r="D68" i="1" s="1"/>
  <c r="D60" i="1" a="1"/>
  <c r="D60" i="1" s="1"/>
  <c r="B69" i="1"/>
  <c r="B72" i="1"/>
  <c r="D63" i="1" a="1"/>
  <c r="D63" i="1" s="1"/>
  <c r="B64" i="1"/>
  <c r="D55" i="1" a="1"/>
  <c r="D55" i="1" s="1"/>
  <c r="B76" i="1"/>
  <c r="D67" i="1" a="1"/>
  <c r="D67" i="1" s="1"/>
  <c r="B80" i="1"/>
  <c r="D71" i="1" a="1"/>
  <c r="D71" i="1" s="1"/>
  <c r="D56" i="1" a="1"/>
  <c r="D56" i="1" s="1"/>
  <c r="B65" i="1"/>
  <c r="B75" i="1" l="1"/>
  <c r="D66" i="1" a="1"/>
  <c r="D66" i="1" s="1"/>
  <c r="D70" i="1" a="1"/>
  <c r="D70" i="1" s="1"/>
  <c r="B79" i="1"/>
  <c r="B89" i="1"/>
  <c r="D80" i="1" a="1"/>
  <c r="D80" i="1" s="1"/>
  <c r="D64" i="1" a="1"/>
  <c r="D64" i="1" s="1"/>
  <c r="B73" i="1"/>
  <c r="B78" i="1"/>
  <c r="D69" i="1" a="1"/>
  <c r="D69" i="1" s="1"/>
  <c r="B74" i="1"/>
  <c r="D65" i="1" a="1"/>
  <c r="D65" i="1" s="1"/>
  <c r="B85" i="1"/>
  <c r="D76" i="1" a="1"/>
  <c r="D76" i="1" s="1"/>
  <c r="B81" i="1"/>
  <c r="D72" i="1" a="1"/>
  <c r="D72" i="1" s="1"/>
  <c r="B86" i="1"/>
  <c r="D77" i="1" a="1"/>
  <c r="D77" i="1" s="1"/>
  <c r="D79" i="1" l="1" a="1"/>
  <c r="D79" i="1" s="1"/>
  <c r="B88" i="1"/>
  <c r="B84" i="1"/>
  <c r="D75" i="1" a="1"/>
  <c r="D75" i="1" s="1"/>
  <c r="D86" i="1" a="1"/>
  <c r="D86" i="1" s="1"/>
  <c r="B95" i="1"/>
  <c r="D74" i="1" a="1"/>
  <c r="D74" i="1" s="1"/>
  <c r="B83" i="1"/>
  <c r="B82" i="1"/>
  <c r="D73" i="1" a="1"/>
  <c r="D73" i="1" s="1"/>
  <c r="B90" i="1"/>
  <c r="D81" i="1" a="1"/>
  <c r="D81" i="1" s="1"/>
  <c r="B94" i="1"/>
  <c r="D85" i="1" a="1"/>
  <c r="D85" i="1" s="1"/>
  <c r="D78" i="1" a="1"/>
  <c r="D78" i="1" s="1"/>
  <c r="B87" i="1"/>
  <c r="B98" i="1"/>
  <c r="D89" i="1" a="1"/>
  <c r="D89" i="1" s="1"/>
  <c r="B93" i="1" l="1"/>
  <c r="D84" i="1" a="1"/>
  <c r="D84" i="1" s="1"/>
  <c r="B97" i="1"/>
  <c r="D88" i="1" a="1"/>
  <c r="D88" i="1" s="1"/>
  <c r="D98" i="1" a="1"/>
  <c r="D98" i="1" s="1"/>
  <c r="B107" i="1"/>
  <c r="D94" i="1" a="1"/>
  <c r="D94" i="1" s="1"/>
  <c r="B103" i="1"/>
  <c r="D82" i="1" a="1"/>
  <c r="D82" i="1" s="1"/>
  <c r="B91" i="1"/>
  <c r="D87" i="1" a="1"/>
  <c r="D87" i="1" s="1"/>
  <c r="B96" i="1"/>
  <c r="D83" i="1" a="1"/>
  <c r="D83" i="1" s="1"/>
  <c r="B92" i="1"/>
  <c r="D90" i="1" a="1"/>
  <c r="D90" i="1" s="1"/>
  <c r="B99" i="1"/>
  <c r="D95" i="1" a="1"/>
  <c r="D95" i="1" s="1"/>
  <c r="B104" i="1"/>
  <c r="D97" i="1" l="1" a="1"/>
  <c r="D97" i="1" s="1"/>
  <c r="B106" i="1"/>
  <c r="B102" i="1"/>
  <c r="D93" i="1" a="1"/>
  <c r="D93" i="1" s="1"/>
  <c r="D99" i="1" a="1"/>
  <c r="D99" i="1" s="1"/>
  <c r="B108" i="1"/>
  <c r="B105" i="1"/>
  <c r="D96" i="1" a="1"/>
  <c r="D96" i="1" s="1"/>
  <c r="D103" i="1" a="1"/>
  <c r="D103" i="1" s="1"/>
  <c r="B112" i="1"/>
  <c r="D107" i="1" a="1"/>
  <c r="D107" i="1" s="1"/>
  <c r="B116" i="1"/>
  <c r="B113" i="1"/>
  <c r="D104" i="1" a="1"/>
  <c r="D104" i="1" s="1"/>
  <c r="B101" i="1"/>
  <c r="D92" i="1" a="1"/>
  <c r="D92" i="1" s="1"/>
  <c r="D91" i="1" a="1"/>
  <c r="D91" i="1" s="1"/>
  <c r="B100" i="1"/>
  <c r="D102" i="1" l="1" a="1"/>
  <c r="D102" i="1" s="1"/>
  <c r="B111" i="1"/>
  <c r="D106" i="1" a="1"/>
  <c r="D106" i="1" s="1"/>
  <c r="B115" i="1"/>
  <c r="B122" i="1"/>
  <c r="D113" i="1" a="1"/>
  <c r="D113" i="1" s="1"/>
  <c r="B125" i="1"/>
  <c r="D116" i="1" a="1"/>
  <c r="D116" i="1" s="1"/>
  <c r="B110" i="1"/>
  <c r="D101" i="1" a="1"/>
  <c r="D101" i="1" s="1"/>
  <c r="B114" i="1"/>
  <c r="D105" i="1" a="1"/>
  <c r="D105" i="1" s="1"/>
  <c r="B109" i="1"/>
  <c r="D100" i="1" a="1"/>
  <c r="D100" i="1" s="1"/>
  <c r="B121" i="1"/>
  <c r="D112" i="1" a="1"/>
  <c r="D112" i="1" s="1"/>
  <c r="B117" i="1"/>
  <c r="D108" i="1" a="1"/>
  <c r="D108" i="1" s="1"/>
  <c r="D115" i="1" l="1" a="1"/>
  <c r="D115" i="1" s="1"/>
  <c r="B124" i="1"/>
  <c r="D111" i="1" a="1"/>
  <c r="D111" i="1" s="1"/>
  <c r="B120" i="1"/>
  <c r="D110" i="1" a="1"/>
  <c r="D110" i="1" s="1"/>
  <c r="B119" i="1"/>
  <c r="B130" i="1"/>
  <c r="D121" i="1" a="1"/>
  <c r="D121" i="1" s="1"/>
  <c r="B126" i="1"/>
  <c r="D117" i="1" a="1"/>
  <c r="D117" i="1" s="1"/>
  <c r="B118" i="1"/>
  <c r="D109" i="1" a="1"/>
  <c r="D109" i="1" s="1"/>
  <c r="D114" i="1" a="1"/>
  <c r="D114" i="1" s="1"/>
  <c r="B123" i="1"/>
  <c r="B134" i="1"/>
  <c r="D125" i="1" a="1"/>
  <c r="D125" i="1" s="1"/>
  <c r="D122" i="1" a="1"/>
  <c r="D122" i="1" s="1"/>
  <c r="B131" i="1"/>
  <c r="D120" i="1" l="1" a="1"/>
  <c r="D120" i="1" s="1"/>
  <c r="B129" i="1"/>
  <c r="D124" i="1" a="1"/>
  <c r="D124" i="1" s="1"/>
  <c r="B133" i="1"/>
  <c r="D134" i="1" a="1"/>
  <c r="D134" i="1" s="1"/>
  <c r="B143" i="1"/>
  <c r="D118" i="1" a="1"/>
  <c r="D118" i="1" s="1"/>
  <c r="B127" i="1"/>
  <c r="D130" i="1" a="1"/>
  <c r="D130" i="1" s="1"/>
  <c r="B139" i="1"/>
  <c r="D119" i="1" a="1"/>
  <c r="D119" i="1" s="1"/>
  <c r="B128" i="1"/>
  <c r="D131" i="1" a="1"/>
  <c r="D131" i="1" s="1"/>
  <c r="B140" i="1"/>
  <c r="D123" i="1" a="1"/>
  <c r="D123" i="1" s="1"/>
  <c r="B132" i="1"/>
  <c r="D126" i="1" a="1"/>
  <c r="D126" i="1" s="1"/>
  <c r="B135" i="1"/>
  <c r="D140" i="1" l="1" a="1"/>
  <c r="D140" i="1" s="1"/>
  <c r="B149" i="1"/>
  <c r="D143" i="1" a="1"/>
  <c r="D143" i="1" s="1"/>
  <c r="B152" i="1"/>
  <c r="B142" i="1"/>
  <c r="D133" i="1" a="1"/>
  <c r="D133" i="1" s="1"/>
  <c r="D135" i="1" a="1"/>
  <c r="D135" i="1" s="1"/>
  <c r="B144" i="1"/>
  <c r="D139" i="1" a="1"/>
  <c r="D139" i="1" s="1"/>
  <c r="B148" i="1"/>
  <c r="B138" i="1"/>
  <c r="D129" i="1" a="1"/>
  <c r="D129" i="1" s="1"/>
  <c r="D132" i="1" a="1"/>
  <c r="D132" i="1" s="1"/>
  <c r="B141" i="1"/>
  <c r="D128" i="1" a="1"/>
  <c r="D128" i="1" s="1"/>
  <c r="B137" i="1"/>
  <c r="D127" i="1" a="1"/>
  <c r="D127" i="1" s="1"/>
  <c r="B136" i="1"/>
  <c r="D141" i="1" l="1" a="1"/>
  <c r="D141" i="1" s="1"/>
  <c r="B150" i="1"/>
  <c r="D142" i="1" a="1"/>
  <c r="D142" i="1" s="1"/>
  <c r="B151" i="1"/>
  <c r="B161" i="1"/>
  <c r="D152" i="1" a="1"/>
  <c r="D152" i="1" s="1"/>
  <c r="D137" i="1" a="1"/>
  <c r="D137" i="1" s="1"/>
  <c r="B146" i="1"/>
  <c r="D144" i="1" a="1"/>
  <c r="D144" i="1" s="1"/>
  <c r="B153" i="1"/>
  <c r="D138" i="1" a="1"/>
  <c r="D138" i="1" s="1"/>
  <c r="B147" i="1"/>
  <c r="D136" i="1" a="1"/>
  <c r="D136" i="1" s="1"/>
  <c r="B145" i="1"/>
  <c r="B157" i="1"/>
  <c r="D148" i="1" a="1"/>
  <c r="D148" i="1" s="1"/>
  <c r="D149" i="1" a="1"/>
  <c r="D149" i="1" s="1"/>
  <c r="B158" i="1"/>
  <c r="D161" i="1" l="1" a="1"/>
  <c r="D161" i="1" s="1"/>
  <c r="B170" i="1"/>
  <c r="D145" i="1" a="1"/>
  <c r="D145" i="1" s="1"/>
  <c r="B154" i="1"/>
  <c r="D147" i="1" a="1"/>
  <c r="D147" i="1" s="1"/>
  <c r="B156" i="1"/>
  <c r="B160" i="1"/>
  <c r="D151" i="1" a="1"/>
  <c r="D151" i="1" s="1"/>
  <c r="B155" i="1"/>
  <c r="D146" i="1" a="1"/>
  <c r="D146" i="1" s="1"/>
  <c r="B166" i="1"/>
  <c r="D157" i="1" a="1"/>
  <c r="D157" i="1" s="1"/>
  <c r="D158" i="1" a="1"/>
  <c r="D158" i="1" s="1"/>
  <c r="B167" i="1"/>
  <c r="B162" i="1"/>
  <c r="D153" i="1" a="1"/>
  <c r="D153" i="1" s="1"/>
  <c r="D150" i="1" a="1"/>
  <c r="D150" i="1" s="1"/>
  <c r="B159" i="1"/>
  <c r="B171" i="1" l="1"/>
  <c r="D162" i="1" a="1"/>
  <c r="D162" i="1" s="1"/>
  <c r="D155" i="1" a="1"/>
  <c r="D155" i="1" s="1"/>
  <c r="B164" i="1"/>
  <c r="B169" i="1"/>
  <c r="D160" i="1" a="1"/>
  <c r="D160" i="1" s="1"/>
  <c r="D167" i="1" a="1"/>
  <c r="D167" i="1" s="1"/>
  <c r="B176" i="1"/>
  <c r="B165" i="1"/>
  <c r="D156" i="1" a="1"/>
  <c r="D156" i="1" s="1"/>
  <c r="D159" i="1" a="1"/>
  <c r="D159" i="1" s="1"/>
  <c r="B168" i="1"/>
  <c r="B179" i="1"/>
  <c r="D170" i="1" a="1"/>
  <c r="D170" i="1" s="1"/>
  <c r="B163" i="1"/>
  <c r="D154" i="1" a="1"/>
  <c r="D154" i="1" s="1"/>
  <c r="B175" i="1"/>
  <c r="D166" i="1" a="1"/>
  <c r="D166" i="1" s="1"/>
  <c r="D175" i="1" l="1" a="1"/>
  <c r="D175" i="1" s="1"/>
  <c r="B184" i="1"/>
  <c r="D176" i="1" a="1"/>
  <c r="D176" i="1" s="1"/>
  <c r="B185" i="1"/>
  <c r="D179" i="1" a="1"/>
  <c r="D179" i="1" s="1"/>
  <c r="B188" i="1"/>
  <c r="B172" i="1"/>
  <c r="D163" i="1" a="1"/>
  <c r="D163" i="1" s="1"/>
  <c r="B174" i="1"/>
  <c r="D165" i="1" a="1"/>
  <c r="D165" i="1" s="1"/>
  <c r="B178" i="1"/>
  <c r="D169" i="1" a="1"/>
  <c r="D169" i="1" s="1"/>
  <c r="B177" i="1"/>
  <c r="D168" i="1" a="1"/>
  <c r="D168" i="1" s="1"/>
  <c r="B173" i="1"/>
  <c r="D164" i="1" a="1"/>
  <c r="D164" i="1" s="1"/>
  <c r="B180" i="1"/>
  <c r="D171" i="1" a="1"/>
  <c r="D171" i="1" s="1"/>
  <c r="D188" i="1" l="1" a="1"/>
  <c r="D188" i="1" s="1"/>
  <c r="B197" i="1"/>
  <c r="D185" i="1" a="1"/>
  <c r="D185" i="1" s="1"/>
  <c r="B194" i="1"/>
  <c r="D184" i="1" a="1"/>
  <c r="D184" i="1" s="1"/>
  <c r="B193" i="1"/>
  <c r="D173" i="1" a="1"/>
  <c r="D173" i="1" s="1"/>
  <c r="B182" i="1"/>
  <c r="D177" i="1" a="1"/>
  <c r="D177" i="1" s="1"/>
  <c r="B186" i="1"/>
  <c r="D180" i="1" a="1"/>
  <c r="D180" i="1" s="1"/>
  <c r="B189" i="1"/>
  <c r="D174" i="1" a="1"/>
  <c r="D174" i="1" s="1"/>
  <c r="B183" i="1"/>
  <c r="D178" i="1" a="1"/>
  <c r="D178" i="1" s="1"/>
  <c r="B187" i="1"/>
  <c r="B181" i="1"/>
  <c r="D172" i="1" a="1"/>
  <c r="D172" i="1" s="1"/>
  <c r="D194" i="1" l="1" a="1"/>
  <c r="D194" i="1" s="1"/>
  <c r="B203" i="1"/>
  <c r="D203" i="1" s="1" a="1"/>
  <c r="D203" i="1" s="1"/>
  <c r="D193" i="1" a="1"/>
  <c r="D193" i="1" s="1"/>
  <c r="B202" i="1"/>
  <c r="D202" i="1" s="1" a="1"/>
  <c r="D202" i="1" s="1"/>
  <c r="D197" i="1" a="1"/>
  <c r="D197" i="1" s="1"/>
  <c r="B206" i="1"/>
  <c r="D206" i="1" s="1" a="1"/>
  <c r="D206" i="1" s="1"/>
  <c r="D187" i="1" a="1"/>
  <c r="D187" i="1" s="1"/>
  <c r="B196" i="1"/>
  <c r="D182" i="1" a="1"/>
  <c r="D182" i="1" s="1"/>
  <c r="B191" i="1"/>
  <c r="D183" i="1" a="1"/>
  <c r="D183" i="1" s="1"/>
  <c r="B192" i="1"/>
  <c r="D189" i="1" a="1"/>
  <c r="D189" i="1" s="1"/>
  <c r="B198" i="1"/>
  <c r="D186" i="1" a="1"/>
  <c r="D186" i="1" s="1"/>
  <c r="B195" i="1"/>
  <c r="D181" i="1" a="1"/>
  <c r="D181" i="1" s="1"/>
  <c r="B190" i="1"/>
  <c r="D195" i="1" l="1" a="1"/>
  <c r="D195" i="1" s="1"/>
  <c r="B204" i="1"/>
  <c r="D204" i="1" s="1" a="1"/>
  <c r="D204" i="1" s="1"/>
  <c r="D192" i="1" a="1"/>
  <c r="D192" i="1" s="1"/>
  <c r="B201" i="1"/>
  <c r="D201" i="1" s="1" a="1"/>
  <c r="D201" i="1" s="1"/>
  <c r="D198" i="1" a="1"/>
  <c r="D198" i="1" s="1"/>
  <c r="B207" i="1"/>
  <c r="D207" i="1" s="1" a="1"/>
  <c r="D207" i="1" s="1"/>
  <c r="D191" i="1" a="1"/>
  <c r="D191" i="1" s="1"/>
  <c r="B200" i="1"/>
  <c r="D200" i="1" s="1" a="1"/>
  <c r="D200" i="1" s="1"/>
  <c r="D196" i="1" a="1"/>
  <c r="D196" i="1" s="1"/>
  <c r="B205" i="1"/>
  <c r="D205" i="1" s="1" a="1"/>
  <c r="D205" i="1" s="1"/>
  <c r="D190" i="1" a="1"/>
  <c r="D190" i="1" s="1"/>
  <c r="B199" i="1"/>
  <c r="D199" i="1" l="1" a="1"/>
  <c r="D199" i="1" s="1"/>
  <c r="B208" i="1"/>
  <c r="D208" i="1" s="1" a="1"/>
  <c r="D20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<sst xmlns="http://schemas.openxmlformats.org/spreadsheetml/2006/main" count="45" uniqueCount="39">
  <si>
    <t>Date</t>
  </si>
  <si>
    <t>Wordle Id</t>
  </si>
  <si>
    <t>Wordle</t>
  </si>
  <si>
    <t>Player</t>
  </si>
  <si>
    <t>Number of Attempts</t>
  </si>
  <si>
    <t>Phil</t>
  </si>
  <si>
    <t>Erik</t>
  </si>
  <si>
    <t>RoBert</t>
  </si>
  <si>
    <t>KNOLL</t>
  </si>
  <si>
    <t>WHACK</t>
  </si>
  <si>
    <t>MOUNT</t>
  </si>
  <si>
    <t>Andrew</t>
  </si>
  <si>
    <t>Yoyo</t>
  </si>
  <si>
    <t>Henry</t>
  </si>
  <si>
    <t>Word</t>
  </si>
  <si>
    <t>PERKY</t>
  </si>
  <si>
    <t>CRIMP</t>
  </si>
  <si>
    <t>SUGAR</t>
  </si>
  <si>
    <t>X</t>
  </si>
  <si>
    <t>WRUNG</t>
  </si>
  <si>
    <t>LIGHT</t>
  </si>
  <si>
    <t>COULD</t>
  </si>
  <si>
    <t>THOSE</t>
  </si>
  <si>
    <t>MOIST</t>
  </si>
  <si>
    <t>SHARD</t>
  </si>
  <si>
    <t>SKILL</t>
  </si>
  <si>
    <t>ALOFT</t>
  </si>
  <si>
    <t>PLEAT</t>
  </si>
  <si>
    <t>ELDER</t>
  </si>
  <si>
    <t>Aimee</t>
  </si>
  <si>
    <t>PAUSE</t>
  </si>
  <si>
    <t>FRAME</t>
  </si>
  <si>
    <t>HUMOR</t>
  </si>
  <si>
    <t>Taylor</t>
  </si>
  <si>
    <t>Carly</t>
  </si>
  <si>
    <t>ULCER</t>
  </si>
  <si>
    <t>ULTRA</t>
  </si>
  <si>
    <t>ROBIN</t>
  </si>
  <si>
    <t>CYNIC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</si>
</sst>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14" fontId="0" fillId="0" borderId="0" xfId="0" applyNumberFormat="1"/>
    <xf numFmtId="14" fontId="2" fillId="0" borderId="0" xfId="0" applyNumberFormat="1" applyFont="1"/>
    <xf numFmtId="0" fontId="2" fillId="0" borderId="0" xfId="0" applyFont="1"/>
    <xf numFmtId="0" fontId="1" fillId="0" borderId="0" xfId="0" applyFont="1"/>
    <xf numFmtId="0" fontId="0" fillId="0" borderId="0" xfId="0" applyNumberFormat="1"/>
    <xf numFmtId="14" fontId="2" fillId="2" borderId="0" xfId="0" applyNumberFormat="1" applyFont="1" applyFill="1"/>
    <xf numFmtId="0" fontId="2" fillId="2" borderId="0" xfId="0" applyFont="1" applyFill="1"/>
    <xf numFmtId="0" fontId="2" fillId="0" borderId="0" xfId="0" applyFont="1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01387-04E3-4955-8CAF-0DBBBF22CEAF}">
  <sheetPr codeName="Sheet1"/>
  <dimension ref="A1:E274"/>
  <sheetViews>
    <sheetView showGridLines="0" tabSelected="1" workbookViewId="0">
      <pane ySplit="1" topLeftCell="A179" activePane="bottomLeft" state="frozen"/>
      <selection pane="bottomLeft" activeCell="D208" sqref="D208"/>
    </sheetView>
  </sheetViews>
  <sheetFormatPr defaultRowHeight="15" x14ac:dyDescent="0.25"/>
  <cols>
    <col min="1" max="2" width="9.7109375" bestFit="1" customWidth="1"/>
    <col min="5" max="5" width="19.5703125" bestFit="1" customWidth="1"/>
  </cols>
  <sheetData>
    <row r="1" spans="1:5" s="1" customFormat="1" x14ac:dyDescent="0.25">
      <c r="A1" s="1" t="s">
        <v>0</v>
      </c>
      <c r="B1" s="1" t="s">
        <v>1</v>
      </c>
      <c r="C1" s="1" t="s">
        <v>3</v>
      </c>
      <c r="D1" s="1" t="s">
        <v>14</v>
      </c>
      <c r="E1" s="1" t="s">
        <v>4</v>
      </c>
    </row>
    <row r="2" spans="1:5" x14ac:dyDescent="0.25">
      <c r="A2" s="3">
        <v>44219</v>
      </c>
      <c r="B2" s="4">
        <v>218</v>
      </c>
      <c r="C2" s="4" t="s">
        <v>5</v>
      </c>
      <c r="D2" t="str" cm="1">
        <f t="array" aca="1" ref="D2" ca="1">IF(_xlfn.XLOOKUP($B2,wordle_ids,wordles)="","",_xlfn.XLOOKUP($B2,wordle_ids,wordles))</f>
        <v>CRIMP</v>
      </c>
      <c r="E2" s="10">
        <v>5</v>
      </c>
    </row>
    <row r="3" spans="1:5" x14ac:dyDescent="0.25">
      <c r="A3" s="3">
        <v>44219</v>
      </c>
      <c r="B3" s="4">
        <v>218</v>
      </c>
      <c r="C3" s="4" t="s">
        <v>6</v>
      </c>
      <c r="D3" t="str" cm="1">
        <f t="array" aca="1" ref="D3" ca="1">IF(_xlfn.XLOOKUP($B3,wordle_ids,wordles)="","",_xlfn.XLOOKUP($B3,wordle_ids,wordles))</f>
        <v>CRIMP</v>
      </c>
      <c r="E3" s="10">
        <v>4</v>
      </c>
    </row>
    <row r="4" spans="1:5" x14ac:dyDescent="0.25">
      <c r="A4" s="3">
        <v>44219</v>
      </c>
      <c r="B4" s="4">
        <v>218</v>
      </c>
      <c r="C4" s="4" t="s">
        <v>7</v>
      </c>
      <c r="D4" t="str" cm="1">
        <f t="array" aca="1" ref="D4" ca="1">IF(_xlfn.XLOOKUP($B4,wordle_ids,wordles)="","",_xlfn.XLOOKUP($B4,wordle_ids,wordles))</f>
        <v>CRIMP</v>
      </c>
      <c r="E4" s="10">
        <v>5</v>
      </c>
    </row>
    <row r="5" spans="1:5" x14ac:dyDescent="0.25">
      <c r="A5" s="3">
        <v>44219</v>
      </c>
      <c r="B5" s="4">
        <v>218</v>
      </c>
      <c r="C5" s="4" t="s">
        <v>11</v>
      </c>
      <c r="D5" t="str" cm="1">
        <f t="array" aca="1" ref="D5" ca="1">IF(_xlfn.XLOOKUP($B5,wordle_ids,wordles)="","",_xlfn.XLOOKUP($B5,wordle_ids,wordles))</f>
        <v>CRIMP</v>
      </c>
      <c r="E5" s="10"/>
    </row>
    <row r="6" spans="1:5" x14ac:dyDescent="0.25">
      <c r="A6" s="3">
        <v>44219</v>
      </c>
      <c r="B6" s="4">
        <v>218</v>
      </c>
      <c r="C6" s="4" t="s">
        <v>12</v>
      </c>
      <c r="D6" t="str" cm="1">
        <f t="array" aca="1" ref="D6" ca="1">IF(_xlfn.XLOOKUP($B6,wordle_ids,wordles)="","",_xlfn.XLOOKUP($B6,wordle_ids,wordles))</f>
        <v>CRIMP</v>
      </c>
      <c r="E6" s="10"/>
    </row>
    <row r="7" spans="1:5" x14ac:dyDescent="0.25">
      <c r="A7" s="3">
        <v>44219</v>
      </c>
      <c r="B7" s="4">
        <v>218</v>
      </c>
      <c r="C7" s="4" t="s">
        <v>13</v>
      </c>
      <c r="D7" t="str" cm="1">
        <f t="array" aca="1" ref="D7" ca="1">IF(_xlfn.XLOOKUP($B7,wordle_ids,wordles)="","",_xlfn.XLOOKUP($B7,wordle_ids,wordles))</f>
        <v>CRIMP</v>
      </c>
      <c r="E7" s="10"/>
    </row>
    <row r="8" spans="1:5" x14ac:dyDescent="0.25">
      <c r="A8" s="3">
        <v>44219</v>
      </c>
      <c r="B8" s="4">
        <v>218</v>
      </c>
      <c r="C8" s="4" t="s">
        <v>29</v>
      </c>
      <c r="D8" t="str" cm="1">
        <f t="array" aca="1" ref="D8" ca="1">IF(_xlfn.XLOOKUP($B8,wordle_ids,wordles)="","",_xlfn.XLOOKUP($B8,wordle_ids,wordles))</f>
        <v>CRIMP</v>
      </c>
      <c r="E8" s="10"/>
    </row>
    <row r="9" spans="1:5" x14ac:dyDescent="0.25">
      <c r="A9" s="3">
        <v>44219</v>
      </c>
      <c r="B9" s="4">
        <v>218</v>
      </c>
      <c r="C9" s="4" t="s">
        <v>33</v>
      </c>
      <c r="D9" t="str" cm="1">
        <f t="array" aca="1" ref="D9" ca="1">IF(_xlfn.XLOOKUP($B9,wordle_ids,wordles)="","",_xlfn.XLOOKUP($B9,wordle_ids,wordles))</f>
        <v>CRIMP</v>
      </c>
      <c r="E9" s="10"/>
    </row>
    <row r="10" spans="1:5" x14ac:dyDescent="0.25">
      <c r="A10" s="3">
        <v>44219</v>
      </c>
      <c r="B10" s="4">
        <v>218</v>
      </c>
      <c r="C10" s="4" t="s">
        <v>34</v>
      </c>
      <c r="D10" t="str" cm="1">
        <f t="array" aca="1" ref="D10" ca="1">IF(_xlfn.XLOOKUP($B10,wordle_ids,wordles)="","",_xlfn.XLOOKUP($B10,wordle_ids,wordles))</f>
        <v>CRIMP</v>
      </c>
      <c r="E10" s="10"/>
    </row>
    <row r="11" spans="1:5" x14ac:dyDescent="0.25">
      <c r="A11" s="2">
        <f t="shared" ref="A11:B17" si="0">A2+1</f>
        <v>44220</v>
      </c>
      <c r="B11" s="6">
        <f t="shared" si="0"/>
        <v>219</v>
      </c>
      <c r="C11" s="2" t="str">
        <f t="shared" ref="C11:C18" si="1">C2</f>
        <v>Phil</v>
      </c>
      <c r="D11" t="str" cm="1">
        <f t="array" aca="1" ref="D11" ca="1">IF(_xlfn.XLOOKUP($B11,wordle_ids,wordles)="","",_xlfn.XLOOKUP($B11,wordle_ids,wordles))</f>
        <v>KNOLL</v>
      </c>
      <c r="E11" s="10" t="s">
        <v>18</v>
      </c>
    </row>
    <row r="12" spans="1:5" x14ac:dyDescent="0.25">
      <c r="A12" s="2">
        <f t="shared" si="0"/>
        <v>44220</v>
      </c>
      <c r="B12" s="6">
        <f t="shared" si="0"/>
        <v>219</v>
      </c>
      <c r="C12" s="2" t="str">
        <f t="shared" si="1"/>
        <v>Erik</v>
      </c>
      <c r="D12" t="str" cm="1">
        <f t="array" aca="1" ref="D12" ca="1">IF(_xlfn.XLOOKUP($B12,wordle_ids,wordles)="","",_xlfn.XLOOKUP($B12,wordle_ids,wordles))</f>
        <v>KNOLL</v>
      </c>
      <c r="E12" s="10">
        <v>5</v>
      </c>
    </row>
    <row r="13" spans="1:5" x14ac:dyDescent="0.25">
      <c r="A13" s="2">
        <f t="shared" si="0"/>
        <v>44220</v>
      </c>
      <c r="B13" s="6">
        <f t="shared" si="0"/>
        <v>219</v>
      </c>
      <c r="C13" s="2" t="str">
        <f t="shared" si="1"/>
        <v>RoBert</v>
      </c>
      <c r="D13" t="str" cm="1">
        <f t="array" aca="1" ref="D13" ca="1">IF(_xlfn.XLOOKUP($B13,wordle_ids,wordles)="","",_xlfn.XLOOKUP($B13,wordle_ids,wordles))</f>
        <v>KNOLL</v>
      </c>
      <c r="E13" s="10">
        <v>5</v>
      </c>
    </row>
    <row r="14" spans="1:5" x14ac:dyDescent="0.25">
      <c r="A14" s="2">
        <f t="shared" si="0"/>
        <v>44220</v>
      </c>
      <c r="B14" s="6">
        <f t="shared" si="0"/>
        <v>219</v>
      </c>
      <c r="C14" s="2" t="str">
        <f t="shared" si="1"/>
        <v>Andrew</v>
      </c>
      <c r="D14" t="str" cm="1">
        <f t="array" aca="1" ref="D14" ca="1">IF(_xlfn.XLOOKUP($B14,wordle_ids,wordles)="","",_xlfn.XLOOKUP($B14,wordle_ids,wordles))</f>
        <v>KNOLL</v>
      </c>
      <c r="E14" s="10"/>
    </row>
    <row r="15" spans="1:5" x14ac:dyDescent="0.25">
      <c r="A15" s="2">
        <f t="shared" si="0"/>
        <v>44220</v>
      </c>
      <c r="B15" s="6">
        <f t="shared" si="0"/>
        <v>219</v>
      </c>
      <c r="C15" s="2" t="str">
        <f t="shared" si="1"/>
        <v>Yoyo</v>
      </c>
      <c r="D15" t="str" cm="1">
        <f t="array" aca="1" ref="D15" ca="1">IF(_xlfn.XLOOKUP($B15,wordle_ids,wordles)="","",_xlfn.XLOOKUP($B15,wordle_ids,wordles))</f>
        <v>KNOLL</v>
      </c>
      <c r="E15" s="10"/>
    </row>
    <row r="16" spans="1:5" x14ac:dyDescent="0.25">
      <c r="A16" s="2">
        <f t="shared" si="0"/>
        <v>44220</v>
      </c>
      <c r="B16" s="6">
        <f t="shared" si="0"/>
        <v>219</v>
      </c>
      <c r="C16" s="2" t="str">
        <f t="shared" si="1"/>
        <v>Henry</v>
      </c>
      <c r="D16" t="str" cm="1">
        <f t="array" aca="1" ref="D16" ca="1">IF(_xlfn.XLOOKUP($B16,wordle_ids,wordles)="","",_xlfn.XLOOKUP($B16,wordle_ids,wordles))</f>
        <v>KNOLL</v>
      </c>
      <c r="E16" s="10"/>
    </row>
    <row r="17" spans="1:5" x14ac:dyDescent="0.25">
      <c r="A17" s="2">
        <f t="shared" si="0"/>
        <v>44220</v>
      </c>
      <c r="B17" s="6">
        <f t="shared" si="0"/>
        <v>219</v>
      </c>
      <c r="C17" s="2" t="str">
        <f t="shared" si="1"/>
        <v>Aimee</v>
      </c>
      <c r="D17" t="str" cm="1">
        <f t="array" aca="1" ref="D17" ca="1">IF(_xlfn.XLOOKUP($B17,wordle_ids,wordles)="","",_xlfn.XLOOKUP($B17,wordle_ids,wordles))</f>
        <v>KNOLL</v>
      </c>
      <c r="E17" s="10"/>
    </row>
    <row r="18" spans="1:5" x14ac:dyDescent="0.25">
      <c r="A18" s="2">
        <f t="shared" ref="A18:B18" si="2">A9+1</f>
        <v>44220</v>
      </c>
      <c r="B18" s="6">
        <f t="shared" si="2"/>
        <v>219</v>
      </c>
      <c r="C18" s="2" t="str">
        <f t="shared" si="1"/>
        <v>Taylor</v>
      </c>
      <c r="D18" t="str" cm="1">
        <f t="array" aca="1" ref="D18" ca="1">IF(_xlfn.XLOOKUP($B18,wordle_ids,wordles)="","",_xlfn.XLOOKUP($B18,wordle_ids,wordles))</f>
        <v>KNOLL</v>
      </c>
      <c r="E18" s="10"/>
    </row>
    <row r="19" spans="1:5" x14ac:dyDescent="0.25">
      <c r="A19" s="2">
        <f t="shared" ref="A19:B19" si="3">A10+1</f>
        <v>44220</v>
      </c>
      <c r="B19" s="6">
        <f t="shared" si="3"/>
        <v>219</v>
      </c>
      <c r="C19" s="2" t="str">
        <f t="shared" ref="C19:C82" si="4">C10</f>
        <v>Carly</v>
      </c>
      <c r="D19" t="str" cm="1">
        <f t="array" aca="1" ref="D19" ca="1">IF(_xlfn.XLOOKUP($B19,wordle_ids,wordles)="","",_xlfn.XLOOKUP($B19,wordle_ids,wordles))</f>
        <v>KNOLL</v>
      </c>
      <c r="E19" s="10"/>
    </row>
    <row r="20" spans="1:5" x14ac:dyDescent="0.25">
      <c r="A20" s="2">
        <f t="shared" ref="A20:B20" si="5">A11+1</f>
        <v>44221</v>
      </c>
      <c r="B20" s="6">
        <f t="shared" si="5"/>
        <v>220</v>
      </c>
      <c r="C20" s="2" t="str">
        <f t="shared" si="4"/>
        <v>Phil</v>
      </c>
      <c r="D20" t="str" cm="1">
        <f t="array" aca="1" ref="D20" ca="1">IF(_xlfn.XLOOKUP($B20,wordle_ids,wordles)="","",_xlfn.XLOOKUP($B20,wordle_ids,wordles))</f>
        <v>SUGAR</v>
      </c>
      <c r="E20" s="10">
        <v>4</v>
      </c>
    </row>
    <row r="21" spans="1:5" x14ac:dyDescent="0.25">
      <c r="A21" s="2">
        <f t="shared" ref="A21:B21" si="6">A12+1</f>
        <v>44221</v>
      </c>
      <c r="B21" s="6">
        <f t="shared" si="6"/>
        <v>220</v>
      </c>
      <c r="C21" s="2" t="str">
        <f t="shared" si="4"/>
        <v>Erik</v>
      </c>
      <c r="D21" t="str" cm="1">
        <f t="array" aca="1" ref="D21" ca="1">IF(_xlfn.XLOOKUP($B21,wordle_ids,wordles)="","",_xlfn.XLOOKUP($B21,wordle_ids,wordles))</f>
        <v>SUGAR</v>
      </c>
      <c r="E21" s="10">
        <v>3</v>
      </c>
    </row>
    <row r="22" spans="1:5" x14ac:dyDescent="0.25">
      <c r="A22" s="2">
        <f t="shared" ref="A22:B22" si="7">A13+1</f>
        <v>44221</v>
      </c>
      <c r="B22" s="6">
        <f t="shared" si="7"/>
        <v>220</v>
      </c>
      <c r="C22" s="2" t="str">
        <f t="shared" si="4"/>
        <v>RoBert</v>
      </c>
      <c r="D22" t="str" cm="1">
        <f t="array" aca="1" ref="D22" ca="1">IF(_xlfn.XLOOKUP($B22,wordle_ids,wordles)="","",_xlfn.XLOOKUP($B22,wordle_ids,wordles))</f>
        <v>SUGAR</v>
      </c>
      <c r="E22" s="10">
        <v>4</v>
      </c>
    </row>
    <row r="23" spans="1:5" x14ac:dyDescent="0.25">
      <c r="A23" s="2">
        <f t="shared" ref="A23:B23" si="8">A14+1</f>
        <v>44221</v>
      </c>
      <c r="B23" s="6">
        <f t="shared" si="8"/>
        <v>220</v>
      </c>
      <c r="C23" s="2" t="str">
        <f t="shared" si="4"/>
        <v>Andrew</v>
      </c>
      <c r="D23" t="str" cm="1">
        <f t="array" aca="1" ref="D23" ca="1">IF(_xlfn.XLOOKUP($B23,wordle_ids,wordles)="","",_xlfn.XLOOKUP($B23,wordle_ids,wordles))</f>
        <v>SUGAR</v>
      </c>
      <c r="E23" s="10"/>
    </row>
    <row r="24" spans="1:5" x14ac:dyDescent="0.25">
      <c r="A24" s="2">
        <f t="shared" ref="A24:B24" si="9">A15+1</f>
        <v>44221</v>
      </c>
      <c r="B24" s="6">
        <f t="shared" si="9"/>
        <v>220</v>
      </c>
      <c r="C24" s="2" t="str">
        <f t="shared" si="4"/>
        <v>Yoyo</v>
      </c>
      <c r="D24" t="str" cm="1">
        <f t="array" aca="1" ref="D24" ca="1">IF(_xlfn.XLOOKUP($B24,wordle_ids,wordles)="","",_xlfn.XLOOKUP($B24,wordle_ids,wordles))</f>
        <v>SUGAR</v>
      </c>
      <c r="E24" s="10"/>
    </row>
    <row r="25" spans="1:5" x14ac:dyDescent="0.25">
      <c r="A25" s="2">
        <f t="shared" ref="A25:B25" si="10">A16+1</f>
        <v>44221</v>
      </c>
      <c r="B25" s="6">
        <f t="shared" si="10"/>
        <v>220</v>
      </c>
      <c r="C25" s="2" t="str">
        <f t="shared" si="4"/>
        <v>Henry</v>
      </c>
      <c r="D25" t="str" cm="1">
        <f t="array" aca="1" ref="D25" ca="1">IF(_xlfn.XLOOKUP($B25,wordle_ids,wordles)="","",_xlfn.XLOOKUP($B25,wordle_ids,wordles))</f>
        <v>SUGAR</v>
      </c>
      <c r="E25" s="10"/>
    </row>
    <row r="26" spans="1:5" x14ac:dyDescent="0.25">
      <c r="A26" s="2">
        <f t="shared" ref="A26:B26" si="11">A17+1</f>
        <v>44221</v>
      </c>
      <c r="B26" s="6">
        <f t="shared" si="11"/>
        <v>220</v>
      </c>
      <c r="C26" s="2" t="str">
        <f t="shared" si="4"/>
        <v>Aimee</v>
      </c>
      <c r="D26" t="str" cm="1">
        <f t="array" aca="1" ref="D26" ca="1">IF(_xlfn.XLOOKUP($B26,wordle_ids,wordles)="","",_xlfn.XLOOKUP($B26,wordle_ids,wordles))</f>
        <v>SUGAR</v>
      </c>
      <c r="E26" s="10"/>
    </row>
    <row r="27" spans="1:5" x14ac:dyDescent="0.25">
      <c r="A27" s="2">
        <f t="shared" ref="A27:B27" si="12">A18+1</f>
        <v>44221</v>
      </c>
      <c r="B27" s="6">
        <f t="shared" si="12"/>
        <v>220</v>
      </c>
      <c r="C27" s="2" t="str">
        <f t="shared" si="4"/>
        <v>Taylor</v>
      </c>
      <c r="D27" t="str" cm="1">
        <f t="array" aca="1" ref="D27" ca="1">IF(_xlfn.XLOOKUP($B27,wordle_ids,wordles)="","",_xlfn.XLOOKUP($B27,wordle_ids,wordles))</f>
        <v>SUGAR</v>
      </c>
      <c r="E27" s="10"/>
    </row>
    <row r="28" spans="1:5" x14ac:dyDescent="0.25">
      <c r="A28" s="2">
        <f t="shared" ref="A28:B28" si="13">A19+1</f>
        <v>44221</v>
      </c>
      <c r="B28" s="6">
        <f t="shared" si="13"/>
        <v>220</v>
      </c>
      <c r="C28" s="2" t="str">
        <f t="shared" si="4"/>
        <v>Carly</v>
      </c>
      <c r="D28" t="str" cm="1">
        <f t="array" aca="1" ref="D28" ca="1">IF(_xlfn.XLOOKUP($B28,wordle_ids,wordles)="","",_xlfn.XLOOKUP($B28,wordle_ids,wordles))</f>
        <v>SUGAR</v>
      </c>
      <c r="E28" s="10"/>
    </row>
    <row r="29" spans="1:5" x14ac:dyDescent="0.25">
      <c r="A29" s="2">
        <f t="shared" ref="A29:B29" si="14">A20+1</f>
        <v>44222</v>
      </c>
      <c r="B29" s="6">
        <f t="shared" si="14"/>
        <v>221</v>
      </c>
      <c r="C29" s="2" t="str">
        <f t="shared" si="4"/>
        <v>Phil</v>
      </c>
      <c r="D29" t="str" cm="1">
        <f t="array" aca="1" ref="D29" ca="1">IF(_xlfn.XLOOKUP($B29,wordle_ids,wordles)="","",_xlfn.XLOOKUP($B29,wordle_ids,wordles))</f>
        <v>WHACK</v>
      </c>
      <c r="E29" s="10">
        <v>4</v>
      </c>
    </row>
    <row r="30" spans="1:5" x14ac:dyDescent="0.25">
      <c r="A30" s="2">
        <f t="shared" ref="A30:B30" si="15">A21+1</f>
        <v>44222</v>
      </c>
      <c r="B30" s="6">
        <f t="shared" si="15"/>
        <v>221</v>
      </c>
      <c r="C30" s="2" t="str">
        <f t="shared" si="4"/>
        <v>Erik</v>
      </c>
      <c r="D30" t="str" cm="1">
        <f t="array" aca="1" ref="D30" ca="1">IF(_xlfn.XLOOKUP($B30,wordle_ids,wordles)="","",_xlfn.XLOOKUP($B30,wordle_ids,wordles))</f>
        <v>WHACK</v>
      </c>
      <c r="E30" s="10">
        <v>5</v>
      </c>
    </row>
    <row r="31" spans="1:5" x14ac:dyDescent="0.25">
      <c r="A31" s="2">
        <f t="shared" ref="A31:B31" si="16">A22+1</f>
        <v>44222</v>
      </c>
      <c r="B31" s="6">
        <f t="shared" si="16"/>
        <v>221</v>
      </c>
      <c r="C31" s="2" t="str">
        <f t="shared" si="4"/>
        <v>RoBert</v>
      </c>
      <c r="D31" t="str" cm="1">
        <f t="array" aca="1" ref="D31" ca="1">IF(_xlfn.XLOOKUP($B31,wordle_ids,wordles)="","",_xlfn.XLOOKUP($B31,wordle_ids,wordles))</f>
        <v>WHACK</v>
      </c>
      <c r="E31" s="10">
        <v>4</v>
      </c>
    </row>
    <row r="32" spans="1:5" x14ac:dyDescent="0.25">
      <c r="A32" s="2">
        <f t="shared" ref="A32:B32" si="17">A23+1</f>
        <v>44222</v>
      </c>
      <c r="B32" s="6">
        <f t="shared" si="17"/>
        <v>221</v>
      </c>
      <c r="C32" s="2" t="str">
        <f t="shared" si="4"/>
        <v>Andrew</v>
      </c>
      <c r="D32" t="str" cm="1">
        <f t="array" aca="1" ref="D32" ca="1">IF(_xlfn.XLOOKUP($B32,wordle_ids,wordles)="","",_xlfn.XLOOKUP($B32,wordle_ids,wordles))</f>
        <v>WHACK</v>
      </c>
      <c r="E32" s="10"/>
    </row>
    <row r="33" spans="1:5" x14ac:dyDescent="0.25">
      <c r="A33" s="2">
        <f t="shared" ref="A33:B33" si="18">A24+1</f>
        <v>44222</v>
      </c>
      <c r="B33" s="6">
        <f t="shared" si="18"/>
        <v>221</v>
      </c>
      <c r="C33" s="2" t="str">
        <f t="shared" si="4"/>
        <v>Yoyo</v>
      </c>
      <c r="D33" t="str" cm="1">
        <f t="array" aca="1" ref="D33" ca="1">IF(_xlfn.XLOOKUP($B33,wordle_ids,wordles)="","",_xlfn.XLOOKUP($B33,wordle_ids,wordles))</f>
        <v>WHACK</v>
      </c>
      <c r="E33" s="10"/>
    </row>
    <row r="34" spans="1:5" x14ac:dyDescent="0.25">
      <c r="A34" s="2">
        <f t="shared" ref="A34:B34" si="19">A25+1</f>
        <v>44222</v>
      </c>
      <c r="B34" s="6">
        <f t="shared" si="19"/>
        <v>221</v>
      </c>
      <c r="C34" s="2" t="str">
        <f t="shared" si="4"/>
        <v>Henry</v>
      </c>
      <c r="D34" t="str" cm="1">
        <f t="array" aca="1" ref="D34" ca="1">IF(_xlfn.XLOOKUP($B34,wordle_ids,wordles)="","",_xlfn.XLOOKUP($B34,wordle_ids,wordles))</f>
        <v>WHACK</v>
      </c>
      <c r="E34" s="10"/>
    </row>
    <row r="35" spans="1:5" x14ac:dyDescent="0.25">
      <c r="A35" s="2">
        <f t="shared" ref="A35:B35" si="20">A26+1</f>
        <v>44222</v>
      </c>
      <c r="B35" s="6">
        <f t="shared" si="20"/>
        <v>221</v>
      </c>
      <c r="C35" s="2" t="str">
        <f t="shared" si="4"/>
        <v>Aimee</v>
      </c>
      <c r="D35" t="str" cm="1">
        <f t="array" aca="1" ref="D35" ca="1">IF(_xlfn.XLOOKUP($B35,wordle_ids,wordles)="","",_xlfn.XLOOKUP($B35,wordle_ids,wordles))</f>
        <v>WHACK</v>
      </c>
      <c r="E35" s="10"/>
    </row>
    <row r="36" spans="1:5" x14ac:dyDescent="0.25">
      <c r="A36" s="2">
        <f t="shared" ref="A36:B36" si="21">A27+1</f>
        <v>44222</v>
      </c>
      <c r="B36" s="6">
        <f t="shared" si="21"/>
        <v>221</v>
      </c>
      <c r="C36" s="2" t="str">
        <f t="shared" si="4"/>
        <v>Taylor</v>
      </c>
      <c r="D36" t="str" cm="1">
        <f t="array" aca="1" ref="D36" ca="1">IF(_xlfn.XLOOKUP($B36,wordle_ids,wordles)="","",_xlfn.XLOOKUP($B36,wordle_ids,wordles))</f>
        <v>WHACK</v>
      </c>
      <c r="E36" s="10"/>
    </row>
    <row r="37" spans="1:5" x14ac:dyDescent="0.25">
      <c r="A37" s="2">
        <f t="shared" ref="A37:B37" si="22">A28+1</f>
        <v>44222</v>
      </c>
      <c r="B37" s="6">
        <f t="shared" si="22"/>
        <v>221</v>
      </c>
      <c r="C37" s="2" t="str">
        <f t="shared" si="4"/>
        <v>Carly</v>
      </c>
      <c r="D37" t="str" cm="1">
        <f t="array" aca="1" ref="D37" ca="1">IF(_xlfn.XLOOKUP($B37,wordle_ids,wordles)="","",_xlfn.XLOOKUP($B37,wordle_ids,wordles))</f>
        <v>WHACK</v>
      </c>
      <c r="E37" s="10"/>
    </row>
    <row r="38" spans="1:5" x14ac:dyDescent="0.25">
      <c r="A38" s="2">
        <f t="shared" ref="A38:B38" si="23">A29+1</f>
        <v>44223</v>
      </c>
      <c r="B38" s="6">
        <f t="shared" si="23"/>
        <v>222</v>
      </c>
      <c r="C38" s="2" t="str">
        <f t="shared" si="4"/>
        <v>Phil</v>
      </c>
      <c r="D38" t="str" cm="1">
        <f t="array" aca="1" ref="D38" ca="1">IF(_xlfn.XLOOKUP($B38,wordle_ids,wordles)="","",_xlfn.XLOOKUP($B38,wordle_ids,wordles))</f>
        <v>MOUNT</v>
      </c>
      <c r="E38" s="10">
        <v>3</v>
      </c>
    </row>
    <row r="39" spans="1:5" x14ac:dyDescent="0.25">
      <c r="A39" s="2">
        <f t="shared" ref="A39:B39" si="24">A30+1</f>
        <v>44223</v>
      </c>
      <c r="B39" s="6">
        <f t="shared" si="24"/>
        <v>222</v>
      </c>
      <c r="C39" s="2" t="str">
        <f t="shared" si="4"/>
        <v>Erik</v>
      </c>
      <c r="D39" t="str" cm="1">
        <f t="array" aca="1" ref="D39" ca="1">IF(_xlfn.XLOOKUP($B39,wordle_ids,wordles)="","",_xlfn.XLOOKUP($B39,wordle_ids,wordles))</f>
        <v>MOUNT</v>
      </c>
      <c r="E39" s="10">
        <v>5</v>
      </c>
    </row>
    <row r="40" spans="1:5" x14ac:dyDescent="0.25">
      <c r="A40" s="2">
        <f t="shared" ref="A40:B40" si="25">A31+1</f>
        <v>44223</v>
      </c>
      <c r="B40" s="6">
        <f t="shared" si="25"/>
        <v>222</v>
      </c>
      <c r="C40" s="2" t="str">
        <f t="shared" si="4"/>
        <v>RoBert</v>
      </c>
      <c r="D40" t="str" cm="1">
        <f t="array" aca="1" ref="D40" ca="1">IF(_xlfn.XLOOKUP($B40,wordle_ids,wordles)="","",_xlfn.XLOOKUP($B40,wordle_ids,wordles))</f>
        <v>MOUNT</v>
      </c>
      <c r="E40" s="10">
        <v>2</v>
      </c>
    </row>
    <row r="41" spans="1:5" x14ac:dyDescent="0.25">
      <c r="A41" s="2">
        <f t="shared" ref="A41:B41" si="26">A32+1</f>
        <v>44223</v>
      </c>
      <c r="B41" s="6">
        <f t="shared" si="26"/>
        <v>222</v>
      </c>
      <c r="C41" s="2" t="str">
        <f t="shared" si="4"/>
        <v>Andrew</v>
      </c>
      <c r="D41" t="str" cm="1">
        <f t="array" aca="1" ref="D41" ca="1">IF(_xlfn.XLOOKUP($B41,wordle_ids,wordles)="","",_xlfn.XLOOKUP($B41,wordle_ids,wordles))</f>
        <v>MOUNT</v>
      </c>
      <c r="E41" s="10">
        <v>3</v>
      </c>
    </row>
    <row r="42" spans="1:5" x14ac:dyDescent="0.25">
      <c r="A42" s="2">
        <f t="shared" ref="A42:B42" si="27">A33+1</f>
        <v>44223</v>
      </c>
      <c r="B42" s="6">
        <f t="shared" si="27"/>
        <v>222</v>
      </c>
      <c r="C42" s="2" t="str">
        <f t="shared" si="4"/>
        <v>Yoyo</v>
      </c>
      <c r="D42" t="str" cm="1">
        <f t="array" aca="1" ref="D42" ca="1">IF(_xlfn.XLOOKUP($B42,wordle_ids,wordles)="","",_xlfn.XLOOKUP($B42,wordle_ids,wordles))</f>
        <v>MOUNT</v>
      </c>
      <c r="E42" s="10">
        <v>5</v>
      </c>
    </row>
    <row r="43" spans="1:5" x14ac:dyDescent="0.25">
      <c r="A43" s="2">
        <f t="shared" ref="A43:B43" si="28">A34+1</f>
        <v>44223</v>
      </c>
      <c r="B43" s="6">
        <f t="shared" si="28"/>
        <v>222</v>
      </c>
      <c r="C43" s="2" t="str">
        <f t="shared" si="4"/>
        <v>Henry</v>
      </c>
      <c r="D43" t="str" cm="1">
        <f t="array" aca="1" ref="D43" ca="1">IF(_xlfn.XLOOKUP($B43,wordle_ids,wordles)="","",_xlfn.XLOOKUP($B43,wordle_ids,wordles))</f>
        <v>MOUNT</v>
      </c>
      <c r="E43" s="10">
        <v>5</v>
      </c>
    </row>
    <row r="44" spans="1:5" x14ac:dyDescent="0.25">
      <c r="A44" s="2">
        <f t="shared" ref="A44:B44" si="29">A35+1</f>
        <v>44223</v>
      </c>
      <c r="B44" s="6">
        <f t="shared" si="29"/>
        <v>222</v>
      </c>
      <c r="C44" s="2" t="str">
        <f t="shared" si="4"/>
        <v>Aimee</v>
      </c>
      <c r="D44" t="str" cm="1">
        <f t="array" aca="1" ref="D44" ca="1">IF(_xlfn.XLOOKUP($B44,wordle_ids,wordles)="","",_xlfn.XLOOKUP($B44,wordle_ids,wordles))</f>
        <v>MOUNT</v>
      </c>
      <c r="E44" s="10"/>
    </row>
    <row r="45" spans="1:5" x14ac:dyDescent="0.25">
      <c r="A45" s="2">
        <f t="shared" ref="A45:B45" si="30">A36+1</f>
        <v>44223</v>
      </c>
      <c r="B45" s="6">
        <f t="shared" si="30"/>
        <v>222</v>
      </c>
      <c r="C45" s="2" t="str">
        <f t="shared" si="4"/>
        <v>Taylor</v>
      </c>
      <c r="D45" t="str" cm="1">
        <f t="array" aca="1" ref="D45" ca="1">IF(_xlfn.XLOOKUP($B45,wordle_ids,wordles)="","",_xlfn.XLOOKUP($B45,wordle_ids,wordles))</f>
        <v>MOUNT</v>
      </c>
      <c r="E45" s="10"/>
    </row>
    <row r="46" spans="1:5" x14ac:dyDescent="0.25">
      <c r="A46" s="2">
        <f t="shared" ref="A46:B46" si="31">A37+1</f>
        <v>44223</v>
      </c>
      <c r="B46" s="6">
        <f t="shared" si="31"/>
        <v>222</v>
      </c>
      <c r="C46" s="2" t="str">
        <f t="shared" si="4"/>
        <v>Carly</v>
      </c>
      <c r="D46" t="str" cm="1">
        <f t="array" aca="1" ref="D46" ca="1">IF(_xlfn.XLOOKUP($B46,wordle_ids,wordles)="","",_xlfn.XLOOKUP($B46,wordle_ids,wordles))</f>
        <v>MOUNT</v>
      </c>
      <c r="E46" s="10"/>
    </row>
    <row r="47" spans="1:5" x14ac:dyDescent="0.25">
      <c r="A47" s="2">
        <f t="shared" ref="A47:B47" si="32">A38+1</f>
        <v>44224</v>
      </c>
      <c r="B47" s="6">
        <f t="shared" si="32"/>
        <v>223</v>
      </c>
      <c r="C47" s="2" t="str">
        <f t="shared" si="4"/>
        <v>Phil</v>
      </c>
      <c r="D47" t="str" cm="1">
        <f t="array" aca="1" ref="D47" ca="1">IF(_xlfn.XLOOKUP($B47,wordle_ids,wordles)="","",_xlfn.XLOOKUP($B47,wordle_ids,wordles))</f>
        <v>PERKY</v>
      </c>
      <c r="E47" s="10">
        <v>4</v>
      </c>
    </row>
    <row r="48" spans="1:5" x14ac:dyDescent="0.25">
      <c r="A48" s="2">
        <f t="shared" ref="A48:B48" si="33">A39+1</f>
        <v>44224</v>
      </c>
      <c r="B48" s="6">
        <f t="shared" si="33"/>
        <v>223</v>
      </c>
      <c r="C48" s="2" t="str">
        <f t="shared" si="4"/>
        <v>Erik</v>
      </c>
      <c r="D48" t="str" cm="1">
        <f t="array" aca="1" ref="D48" ca="1">IF(_xlfn.XLOOKUP($B48,wordle_ids,wordles)="","",_xlfn.XLOOKUP($B48,wordle_ids,wordles))</f>
        <v>PERKY</v>
      </c>
      <c r="E48" s="10">
        <v>5</v>
      </c>
    </row>
    <row r="49" spans="1:5" x14ac:dyDescent="0.25">
      <c r="A49" s="2">
        <f t="shared" ref="A49:B49" si="34">A40+1</f>
        <v>44224</v>
      </c>
      <c r="B49" s="6">
        <f t="shared" si="34"/>
        <v>223</v>
      </c>
      <c r="C49" s="2" t="str">
        <f t="shared" si="4"/>
        <v>RoBert</v>
      </c>
      <c r="D49" t="str" cm="1">
        <f t="array" aca="1" ref="D49" ca="1">IF(_xlfn.XLOOKUP($B49,wordle_ids,wordles)="","",_xlfn.XLOOKUP($B49,wordle_ids,wordles))</f>
        <v>PERKY</v>
      </c>
      <c r="E49" s="10">
        <v>4</v>
      </c>
    </row>
    <row r="50" spans="1:5" x14ac:dyDescent="0.25">
      <c r="A50" s="2">
        <f t="shared" ref="A50:B50" si="35">A41+1</f>
        <v>44224</v>
      </c>
      <c r="B50" s="6">
        <f t="shared" si="35"/>
        <v>223</v>
      </c>
      <c r="C50" s="2" t="str">
        <f t="shared" si="4"/>
        <v>Andrew</v>
      </c>
      <c r="D50" t="str" cm="1">
        <f t="array" aca="1" ref="D50" ca="1">IF(_xlfn.XLOOKUP($B50,wordle_ids,wordles)="","",_xlfn.XLOOKUP($B50,wordle_ids,wordles))</f>
        <v>PERKY</v>
      </c>
      <c r="E50" s="10" t="s">
        <v>18</v>
      </c>
    </row>
    <row r="51" spans="1:5" x14ac:dyDescent="0.25">
      <c r="A51" s="2">
        <f t="shared" ref="A51:B51" si="36">A42+1</f>
        <v>44224</v>
      </c>
      <c r="B51" s="6">
        <f t="shared" si="36"/>
        <v>223</v>
      </c>
      <c r="C51" s="2" t="str">
        <f t="shared" si="4"/>
        <v>Yoyo</v>
      </c>
      <c r="D51" t="str" cm="1">
        <f t="array" aca="1" ref="D51" ca="1">IF(_xlfn.XLOOKUP($B51,wordle_ids,wordles)="","",_xlfn.XLOOKUP($B51,wordle_ids,wordles))</f>
        <v>PERKY</v>
      </c>
      <c r="E51" s="10">
        <v>4</v>
      </c>
    </row>
    <row r="52" spans="1:5" x14ac:dyDescent="0.25">
      <c r="A52" s="2">
        <f t="shared" ref="A52:B52" si="37">A43+1</f>
        <v>44224</v>
      </c>
      <c r="B52" s="6">
        <f t="shared" si="37"/>
        <v>223</v>
      </c>
      <c r="C52" s="2" t="str">
        <f t="shared" si="4"/>
        <v>Henry</v>
      </c>
      <c r="D52" t="str" cm="1">
        <f t="array" aca="1" ref="D52" ca="1">IF(_xlfn.XLOOKUP($B52,wordle_ids,wordles)="","",_xlfn.XLOOKUP($B52,wordle_ids,wordles))</f>
        <v>PERKY</v>
      </c>
      <c r="E52" s="10" t="s">
        <v>18</v>
      </c>
    </row>
    <row r="53" spans="1:5" x14ac:dyDescent="0.25">
      <c r="A53" s="2">
        <f t="shared" ref="A53:B53" si="38">A44+1</f>
        <v>44224</v>
      </c>
      <c r="B53" s="6">
        <f t="shared" si="38"/>
        <v>223</v>
      </c>
      <c r="C53" s="2" t="str">
        <f t="shared" si="4"/>
        <v>Aimee</v>
      </c>
      <c r="D53" t="str" cm="1">
        <f t="array" aca="1" ref="D53" ca="1">IF(_xlfn.XLOOKUP($B53,wordle_ids,wordles)="","",_xlfn.XLOOKUP($B53,wordle_ids,wordles))</f>
        <v>PERKY</v>
      </c>
      <c r="E53" s="10"/>
    </row>
    <row r="54" spans="1:5" x14ac:dyDescent="0.25">
      <c r="A54" s="2">
        <f t="shared" ref="A54:B54" si="39">A45+1</f>
        <v>44224</v>
      </c>
      <c r="B54" s="6">
        <f t="shared" si="39"/>
        <v>223</v>
      </c>
      <c r="C54" s="2" t="str">
        <f t="shared" si="4"/>
        <v>Taylor</v>
      </c>
      <c r="D54" t="str" cm="1">
        <f t="array" aca="1" ref="D54" ca="1">IF(_xlfn.XLOOKUP($B54,wordle_ids,wordles)="","",_xlfn.XLOOKUP($B54,wordle_ids,wordles))</f>
        <v>PERKY</v>
      </c>
      <c r="E54" s="10"/>
    </row>
    <row r="55" spans="1:5" x14ac:dyDescent="0.25">
      <c r="A55" s="2">
        <f t="shared" ref="A55:B55" si="40">A46+1</f>
        <v>44224</v>
      </c>
      <c r="B55" s="6">
        <f t="shared" si="40"/>
        <v>223</v>
      </c>
      <c r="C55" s="2" t="str">
        <f t="shared" si="4"/>
        <v>Carly</v>
      </c>
      <c r="D55" t="str" cm="1">
        <f t="array" aca="1" ref="D55" ca="1">IF(_xlfn.XLOOKUP($B55,wordle_ids,wordles)="","",_xlfn.XLOOKUP($B55,wordle_ids,wordles))</f>
        <v>PERKY</v>
      </c>
      <c r="E55" s="10"/>
    </row>
    <row r="56" spans="1:5" x14ac:dyDescent="0.25">
      <c r="A56" s="2">
        <f t="shared" ref="A56:B56" si="41">A47+1</f>
        <v>44225</v>
      </c>
      <c r="B56" s="6">
        <f t="shared" si="41"/>
        <v>224</v>
      </c>
      <c r="C56" s="2" t="str">
        <f t="shared" si="4"/>
        <v>Phil</v>
      </c>
      <c r="D56" t="str" cm="1">
        <f t="array" aca="1" ref="D56" ca="1">IF(_xlfn.XLOOKUP($B56,wordle_ids,wordles)="","",_xlfn.XLOOKUP($B56,wordle_ids,wordles))</f>
        <v>COULD</v>
      </c>
      <c r="E56" s="10">
        <v>2</v>
      </c>
    </row>
    <row r="57" spans="1:5" x14ac:dyDescent="0.25">
      <c r="A57" s="2">
        <f t="shared" ref="A57:B57" si="42">A48+1</f>
        <v>44225</v>
      </c>
      <c r="B57" s="6">
        <f t="shared" si="42"/>
        <v>224</v>
      </c>
      <c r="C57" s="2" t="str">
        <f t="shared" si="4"/>
        <v>Erik</v>
      </c>
      <c r="D57" t="str" cm="1">
        <f t="array" aca="1" ref="D57" ca="1">IF(_xlfn.XLOOKUP($B57,wordle_ids,wordles)="","",_xlfn.XLOOKUP($B57,wordle_ids,wordles))</f>
        <v>COULD</v>
      </c>
      <c r="E57" s="10">
        <v>4</v>
      </c>
    </row>
    <row r="58" spans="1:5" x14ac:dyDescent="0.25">
      <c r="A58" s="2">
        <f t="shared" ref="A58:B58" si="43">A49+1</f>
        <v>44225</v>
      </c>
      <c r="B58" s="6">
        <f t="shared" si="43"/>
        <v>224</v>
      </c>
      <c r="C58" s="2" t="str">
        <f t="shared" si="4"/>
        <v>RoBert</v>
      </c>
      <c r="D58" t="str" cm="1">
        <f t="array" aca="1" ref="D58" ca="1">IF(_xlfn.XLOOKUP($B58,wordle_ids,wordles)="","",_xlfn.XLOOKUP($B58,wordle_ids,wordles))</f>
        <v>COULD</v>
      </c>
      <c r="E58" s="10">
        <v>5</v>
      </c>
    </row>
    <row r="59" spans="1:5" x14ac:dyDescent="0.25">
      <c r="A59" s="2">
        <f t="shared" ref="A59:B59" si="44">A50+1</f>
        <v>44225</v>
      </c>
      <c r="B59" s="6">
        <f t="shared" si="44"/>
        <v>224</v>
      </c>
      <c r="C59" s="2" t="str">
        <f t="shared" si="4"/>
        <v>Andrew</v>
      </c>
      <c r="D59" t="str" cm="1">
        <f t="array" aca="1" ref="D59" ca="1">IF(_xlfn.XLOOKUP($B59,wordle_ids,wordles)="","",_xlfn.XLOOKUP($B59,wordle_ids,wordles))</f>
        <v>COULD</v>
      </c>
      <c r="E59" s="10">
        <v>5</v>
      </c>
    </row>
    <row r="60" spans="1:5" x14ac:dyDescent="0.25">
      <c r="A60" s="2">
        <f t="shared" ref="A60:B60" si="45">A51+1</f>
        <v>44225</v>
      </c>
      <c r="B60" s="6">
        <f t="shared" si="45"/>
        <v>224</v>
      </c>
      <c r="C60" s="2" t="str">
        <f t="shared" si="4"/>
        <v>Yoyo</v>
      </c>
      <c r="D60" t="str" cm="1">
        <f t="array" aca="1" ref="D60" ca="1">IF(_xlfn.XLOOKUP($B60,wordle_ids,wordles)="","",_xlfn.XLOOKUP($B60,wordle_ids,wordles))</f>
        <v>COULD</v>
      </c>
      <c r="E60" s="10">
        <v>4</v>
      </c>
    </row>
    <row r="61" spans="1:5" x14ac:dyDescent="0.25">
      <c r="A61" s="2">
        <f t="shared" ref="A61:B61" si="46">A52+1</f>
        <v>44225</v>
      </c>
      <c r="B61" s="6">
        <f t="shared" si="46"/>
        <v>224</v>
      </c>
      <c r="C61" s="2" t="str">
        <f t="shared" si="4"/>
        <v>Henry</v>
      </c>
      <c r="D61" t="str" cm="1">
        <f t="array" aca="1" ref="D61" ca="1">IF(_xlfn.XLOOKUP($B61,wordle_ids,wordles)="","",_xlfn.XLOOKUP($B61,wordle_ids,wordles))</f>
        <v>COULD</v>
      </c>
      <c r="E61" s="10"/>
    </row>
    <row r="62" spans="1:5" x14ac:dyDescent="0.25">
      <c r="A62" s="2">
        <f t="shared" ref="A62:B62" si="47">A53+1</f>
        <v>44225</v>
      </c>
      <c r="B62" s="6">
        <f t="shared" si="47"/>
        <v>224</v>
      </c>
      <c r="C62" s="2" t="str">
        <f t="shared" si="4"/>
        <v>Aimee</v>
      </c>
      <c r="D62" t="str" cm="1">
        <f t="array" aca="1" ref="D62" ca="1">IF(_xlfn.XLOOKUP($B62,wordle_ids,wordles)="","",_xlfn.XLOOKUP($B62,wordle_ids,wordles))</f>
        <v>COULD</v>
      </c>
      <c r="E62" s="10">
        <v>3</v>
      </c>
    </row>
    <row r="63" spans="1:5" x14ac:dyDescent="0.25">
      <c r="A63" s="2">
        <f t="shared" ref="A63:B63" si="48">A54+1</f>
        <v>44225</v>
      </c>
      <c r="B63" s="6">
        <f t="shared" si="48"/>
        <v>224</v>
      </c>
      <c r="C63" s="2" t="str">
        <f t="shared" si="4"/>
        <v>Taylor</v>
      </c>
      <c r="D63" t="str" cm="1">
        <f t="array" aca="1" ref="D63" ca="1">IF(_xlfn.XLOOKUP($B63,wordle_ids,wordles)="","",_xlfn.XLOOKUP($B63,wordle_ids,wordles))</f>
        <v>COULD</v>
      </c>
      <c r="E63" s="10"/>
    </row>
    <row r="64" spans="1:5" x14ac:dyDescent="0.25">
      <c r="A64" s="2">
        <f t="shared" ref="A64:B64" si="49">A55+1</f>
        <v>44225</v>
      </c>
      <c r="B64" s="6">
        <f t="shared" si="49"/>
        <v>224</v>
      </c>
      <c r="C64" s="2" t="str">
        <f t="shared" si="4"/>
        <v>Carly</v>
      </c>
      <c r="D64" t="str" cm="1">
        <f t="array" aca="1" ref="D64" ca="1">IF(_xlfn.XLOOKUP($B64,wordle_ids,wordles)="","",_xlfn.XLOOKUP($B64,wordle_ids,wordles))</f>
        <v>COULD</v>
      </c>
      <c r="E64" s="10"/>
    </row>
    <row r="65" spans="1:5" x14ac:dyDescent="0.25">
      <c r="A65" s="2">
        <f t="shared" ref="A65:B65" si="50">A56+1</f>
        <v>44226</v>
      </c>
      <c r="B65" s="6">
        <f t="shared" si="50"/>
        <v>225</v>
      </c>
      <c r="C65" s="2" t="str">
        <f t="shared" si="4"/>
        <v>Phil</v>
      </c>
      <c r="D65" t="str" cm="1">
        <f t="array" aca="1" ref="D65" ca="1">IF(_xlfn.XLOOKUP($B65,wordle_ids,wordles)="","",_xlfn.XLOOKUP($B65,wordle_ids,wordles))</f>
        <v>WRUNG</v>
      </c>
      <c r="E65" s="10">
        <v>3</v>
      </c>
    </row>
    <row r="66" spans="1:5" x14ac:dyDescent="0.25">
      <c r="A66" s="2">
        <f t="shared" ref="A66:B66" si="51">A57+1</f>
        <v>44226</v>
      </c>
      <c r="B66" s="6">
        <f t="shared" si="51"/>
        <v>225</v>
      </c>
      <c r="C66" s="2" t="str">
        <f t="shared" si="4"/>
        <v>Erik</v>
      </c>
      <c r="D66" t="str" cm="1">
        <f t="array" aca="1" ref="D66" ca="1">IF(_xlfn.XLOOKUP($B66,wordle_ids,wordles)="","",_xlfn.XLOOKUP($B66,wordle_ids,wordles))</f>
        <v>WRUNG</v>
      </c>
      <c r="E66" s="10">
        <v>4</v>
      </c>
    </row>
    <row r="67" spans="1:5" x14ac:dyDescent="0.25">
      <c r="A67" s="2">
        <f t="shared" ref="A67:B67" si="52">A58+1</f>
        <v>44226</v>
      </c>
      <c r="B67" s="6">
        <f t="shared" si="52"/>
        <v>225</v>
      </c>
      <c r="C67" s="2" t="str">
        <f t="shared" si="4"/>
        <v>RoBert</v>
      </c>
      <c r="D67" t="str" cm="1">
        <f t="array" aca="1" ref="D67" ca="1">IF(_xlfn.XLOOKUP($B67,wordle_ids,wordles)="","",_xlfn.XLOOKUP($B67,wordle_ids,wordles))</f>
        <v>WRUNG</v>
      </c>
      <c r="E67" s="10">
        <v>4</v>
      </c>
    </row>
    <row r="68" spans="1:5" x14ac:dyDescent="0.25">
      <c r="A68" s="2">
        <f t="shared" ref="A68:B68" si="53">A59+1</f>
        <v>44226</v>
      </c>
      <c r="B68" s="6">
        <f t="shared" si="53"/>
        <v>225</v>
      </c>
      <c r="C68" s="2" t="str">
        <f t="shared" si="4"/>
        <v>Andrew</v>
      </c>
      <c r="D68" t="str" cm="1">
        <f t="array" aca="1" ref="D68" ca="1">IF(_xlfn.XLOOKUP($B68,wordle_ids,wordles)="","",_xlfn.XLOOKUP($B68,wordle_ids,wordles))</f>
        <v>WRUNG</v>
      </c>
      <c r="E68" s="10">
        <v>4</v>
      </c>
    </row>
    <row r="69" spans="1:5" x14ac:dyDescent="0.25">
      <c r="A69" s="2">
        <f t="shared" ref="A69:B69" si="54">A60+1</f>
        <v>44226</v>
      </c>
      <c r="B69" s="6">
        <f t="shared" si="54"/>
        <v>225</v>
      </c>
      <c r="C69" s="2" t="str">
        <f t="shared" si="4"/>
        <v>Yoyo</v>
      </c>
      <c r="D69" t="str" cm="1">
        <f t="array" aca="1" ref="D69" ca="1">IF(_xlfn.XLOOKUP($B69,wordle_ids,wordles)="","",_xlfn.XLOOKUP($B69,wordle_ids,wordles))</f>
        <v>WRUNG</v>
      </c>
      <c r="E69" s="10">
        <v>4</v>
      </c>
    </row>
    <row r="70" spans="1:5" x14ac:dyDescent="0.25">
      <c r="A70" s="2">
        <f t="shared" ref="A70:B70" si="55">A61+1</f>
        <v>44226</v>
      </c>
      <c r="B70" s="6">
        <f t="shared" si="55"/>
        <v>225</v>
      </c>
      <c r="C70" s="2" t="str">
        <f t="shared" si="4"/>
        <v>Henry</v>
      </c>
      <c r="D70" t="str" cm="1">
        <f t="array" aca="1" ref="D70" ca="1">IF(_xlfn.XLOOKUP($B70,wordle_ids,wordles)="","",_xlfn.XLOOKUP($B70,wordle_ids,wordles))</f>
        <v>WRUNG</v>
      </c>
      <c r="E70" s="10"/>
    </row>
    <row r="71" spans="1:5" x14ac:dyDescent="0.25">
      <c r="A71" s="2">
        <f t="shared" ref="A71:B71" si="56">A62+1</f>
        <v>44226</v>
      </c>
      <c r="B71" s="6">
        <f t="shared" si="56"/>
        <v>225</v>
      </c>
      <c r="C71" s="2" t="str">
        <f t="shared" si="4"/>
        <v>Aimee</v>
      </c>
      <c r="D71" t="str" cm="1">
        <f t="array" aca="1" ref="D71" ca="1">IF(_xlfn.XLOOKUP($B71,wordle_ids,wordles)="","",_xlfn.XLOOKUP($B71,wordle_ids,wordles))</f>
        <v>WRUNG</v>
      </c>
      <c r="E71" s="10">
        <v>4</v>
      </c>
    </row>
    <row r="72" spans="1:5" x14ac:dyDescent="0.25">
      <c r="A72" s="2">
        <f t="shared" ref="A72:B72" si="57">A63+1</f>
        <v>44226</v>
      </c>
      <c r="B72" s="6">
        <f t="shared" si="57"/>
        <v>225</v>
      </c>
      <c r="C72" s="2" t="str">
        <f t="shared" si="4"/>
        <v>Taylor</v>
      </c>
      <c r="D72" t="str" cm="1">
        <f t="array" aca="1" ref="D72" ca="1">IF(_xlfn.XLOOKUP($B72,wordle_ids,wordles)="","",_xlfn.XLOOKUP($B72,wordle_ids,wordles))</f>
        <v>WRUNG</v>
      </c>
      <c r="E72" s="10"/>
    </row>
    <row r="73" spans="1:5" x14ac:dyDescent="0.25">
      <c r="A73" s="2">
        <f t="shared" ref="A73:B73" si="58">A64+1</f>
        <v>44226</v>
      </c>
      <c r="B73" s="6">
        <f t="shared" si="58"/>
        <v>225</v>
      </c>
      <c r="C73" s="2" t="str">
        <f t="shared" si="4"/>
        <v>Carly</v>
      </c>
      <c r="D73" t="str" cm="1">
        <f t="array" aca="1" ref="D73" ca="1">IF(_xlfn.XLOOKUP($B73,wordle_ids,wordles)="","",_xlfn.XLOOKUP($B73,wordle_ids,wordles))</f>
        <v>WRUNG</v>
      </c>
      <c r="E73" s="10"/>
    </row>
    <row r="74" spans="1:5" x14ac:dyDescent="0.25">
      <c r="A74" s="2">
        <f t="shared" ref="A74:B74" si="59">A65+1</f>
        <v>44227</v>
      </c>
      <c r="B74" s="6">
        <f t="shared" si="59"/>
        <v>226</v>
      </c>
      <c r="C74" s="2" t="str">
        <f t="shared" si="4"/>
        <v>Phil</v>
      </c>
      <c r="D74" t="str" cm="1">
        <f t="array" aca="1" ref="D74" ca="1">IF(_xlfn.XLOOKUP($B74,wordle_ids,wordles)="","",_xlfn.XLOOKUP($B74,wordle_ids,wordles))</f>
        <v>LIGHT</v>
      </c>
      <c r="E74" s="10">
        <v>4</v>
      </c>
    </row>
    <row r="75" spans="1:5" x14ac:dyDescent="0.25">
      <c r="A75" s="2">
        <f t="shared" ref="A75:B75" si="60">A66+1</f>
        <v>44227</v>
      </c>
      <c r="B75" s="6">
        <f t="shared" si="60"/>
        <v>226</v>
      </c>
      <c r="C75" s="2" t="str">
        <f t="shared" si="4"/>
        <v>Erik</v>
      </c>
      <c r="D75" t="str" cm="1">
        <f t="array" aca="1" ref="D75" ca="1">IF(_xlfn.XLOOKUP($B75,wordle_ids,wordles)="","",_xlfn.XLOOKUP($B75,wordle_ids,wordles))</f>
        <v>LIGHT</v>
      </c>
      <c r="E75" s="10">
        <v>4</v>
      </c>
    </row>
    <row r="76" spans="1:5" x14ac:dyDescent="0.25">
      <c r="A76" s="2">
        <f t="shared" ref="A76:B76" si="61">A67+1</f>
        <v>44227</v>
      </c>
      <c r="B76" s="6">
        <f t="shared" si="61"/>
        <v>226</v>
      </c>
      <c r="C76" s="2" t="str">
        <f t="shared" si="4"/>
        <v>RoBert</v>
      </c>
      <c r="D76" t="str" cm="1">
        <f t="array" aca="1" ref="D76" ca="1">IF(_xlfn.XLOOKUP($B76,wordle_ids,wordles)="","",_xlfn.XLOOKUP($B76,wordle_ids,wordles))</f>
        <v>LIGHT</v>
      </c>
      <c r="E76" s="10">
        <v>3</v>
      </c>
    </row>
    <row r="77" spans="1:5" x14ac:dyDescent="0.25">
      <c r="A77" s="2">
        <f t="shared" ref="A77:B77" si="62">A68+1</f>
        <v>44227</v>
      </c>
      <c r="B77" s="6">
        <f t="shared" si="62"/>
        <v>226</v>
      </c>
      <c r="C77" s="2" t="str">
        <f t="shared" si="4"/>
        <v>Andrew</v>
      </c>
      <c r="D77" t="str" cm="1">
        <f t="array" aca="1" ref="D77" ca="1">IF(_xlfn.XLOOKUP($B77,wordle_ids,wordles)="","",_xlfn.XLOOKUP($B77,wordle_ids,wordles))</f>
        <v>LIGHT</v>
      </c>
      <c r="E77" s="10">
        <v>5</v>
      </c>
    </row>
    <row r="78" spans="1:5" x14ac:dyDescent="0.25">
      <c r="A78" s="2">
        <f t="shared" ref="A78:B78" si="63">A69+1</f>
        <v>44227</v>
      </c>
      <c r="B78" s="6">
        <f t="shared" si="63"/>
        <v>226</v>
      </c>
      <c r="C78" s="2" t="str">
        <f t="shared" si="4"/>
        <v>Yoyo</v>
      </c>
      <c r="D78" t="str" cm="1">
        <f t="array" aca="1" ref="D78" ca="1">IF(_xlfn.XLOOKUP($B78,wordle_ids,wordles)="","",_xlfn.XLOOKUP($B78,wordle_ids,wordles))</f>
        <v>LIGHT</v>
      </c>
      <c r="E78" s="10">
        <v>4</v>
      </c>
    </row>
    <row r="79" spans="1:5" x14ac:dyDescent="0.25">
      <c r="A79" s="2">
        <f t="shared" ref="A79:B79" si="64">A70+1</f>
        <v>44227</v>
      </c>
      <c r="B79" s="6">
        <f t="shared" si="64"/>
        <v>226</v>
      </c>
      <c r="C79" s="2" t="str">
        <f t="shared" si="4"/>
        <v>Henry</v>
      </c>
      <c r="D79" t="str" cm="1">
        <f t="array" aca="1" ref="D79" ca="1">IF(_xlfn.XLOOKUP($B79,wordle_ids,wordles)="","",_xlfn.XLOOKUP($B79,wordle_ids,wordles))</f>
        <v>LIGHT</v>
      </c>
      <c r="E79" s="10">
        <v>6</v>
      </c>
    </row>
    <row r="80" spans="1:5" x14ac:dyDescent="0.25">
      <c r="A80" s="2">
        <f t="shared" ref="A80:B80" si="65">A71+1</f>
        <v>44227</v>
      </c>
      <c r="B80" s="6">
        <f t="shared" si="65"/>
        <v>226</v>
      </c>
      <c r="C80" s="2" t="str">
        <f t="shared" si="4"/>
        <v>Aimee</v>
      </c>
      <c r="D80" t="str" cm="1">
        <f t="array" aca="1" ref="D80" ca="1">IF(_xlfn.XLOOKUP($B80,wordle_ids,wordles)="","",_xlfn.XLOOKUP($B80,wordle_ids,wordles))</f>
        <v>LIGHT</v>
      </c>
      <c r="E80" s="10">
        <v>3</v>
      </c>
    </row>
    <row r="81" spans="1:5" x14ac:dyDescent="0.25">
      <c r="A81" s="2">
        <f t="shared" ref="A81:B81" si="66">A72+1</f>
        <v>44227</v>
      </c>
      <c r="B81" s="6">
        <f t="shared" si="66"/>
        <v>226</v>
      </c>
      <c r="C81" s="2" t="str">
        <f t="shared" si="4"/>
        <v>Taylor</v>
      </c>
      <c r="D81" t="str" cm="1">
        <f t="array" aca="1" ref="D81" ca="1">IF(_xlfn.XLOOKUP($B81,wordle_ids,wordles)="","",_xlfn.XLOOKUP($B81,wordle_ids,wordles))</f>
        <v>LIGHT</v>
      </c>
      <c r="E81" s="10"/>
    </row>
    <row r="82" spans="1:5" x14ac:dyDescent="0.25">
      <c r="A82" s="2">
        <f t="shared" ref="A82:B82" si="67">A73+1</f>
        <v>44227</v>
      </c>
      <c r="B82" s="6">
        <f t="shared" si="67"/>
        <v>226</v>
      </c>
      <c r="C82" s="2" t="str">
        <f t="shared" si="4"/>
        <v>Carly</v>
      </c>
      <c r="D82" t="str" cm="1">
        <f t="array" aca="1" ref="D82" ca="1">IF(_xlfn.XLOOKUP($B82,wordle_ids,wordles)="","",_xlfn.XLOOKUP($B82,wordle_ids,wordles))</f>
        <v>LIGHT</v>
      </c>
      <c r="E82" s="10"/>
    </row>
    <row r="83" spans="1:5" x14ac:dyDescent="0.25">
      <c r="A83" s="2">
        <f t="shared" ref="A83:B83" si="68">A74+1</f>
        <v>44228</v>
      </c>
      <c r="B83" s="6">
        <f t="shared" si="68"/>
        <v>227</v>
      </c>
      <c r="C83" s="2" t="str">
        <f t="shared" ref="C83:C208" si="69">C74</f>
        <v>Phil</v>
      </c>
      <c r="D83" t="str" cm="1">
        <f t="array" aca="1" ref="D83" ca="1">IF(_xlfn.XLOOKUP($B83,wordle_ids,wordles)="","",_xlfn.XLOOKUP($B83,wordle_ids,wordles))</f>
        <v>THOSE</v>
      </c>
      <c r="E83" s="10">
        <v>2</v>
      </c>
    </row>
    <row r="84" spans="1:5" x14ac:dyDescent="0.25">
      <c r="A84" s="2">
        <f t="shared" ref="A84:B84" si="70">A75+1</f>
        <v>44228</v>
      </c>
      <c r="B84" s="6">
        <f t="shared" si="70"/>
        <v>227</v>
      </c>
      <c r="C84" s="2" t="str">
        <f t="shared" si="69"/>
        <v>Erik</v>
      </c>
      <c r="D84" t="str" cm="1">
        <f t="array" aca="1" ref="D84" ca="1">IF(_xlfn.XLOOKUP($B84,wordle_ids,wordles)="","",_xlfn.XLOOKUP($B84,wordle_ids,wordles))</f>
        <v>THOSE</v>
      </c>
      <c r="E84" s="10">
        <v>2</v>
      </c>
    </row>
    <row r="85" spans="1:5" x14ac:dyDescent="0.25">
      <c r="A85" s="2">
        <f t="shared" ref="A85:B85" si="71">A76+1</f>
        <v>44228</v>
      </c>
      <c r="B85" s="6">
        <f t="shared" si="71"/>
        <v>227</v>
      </c>
      <c r="C85" s="2" t="str">
        <f t="shared" si="69"/>
        <v>RoBert</v>
      </c>
      <c r="D85" t="str" cm="1">
        <f t="array" aca="1" ref="D85" ca="1">IF(_xlfn.XLOOKUP($B85,wordle_ids,wordles)="","",_xlfn.XLOOKUP($B85,wordle_ids,wordles))</f>
        <v>THOSE</v>
      </c>
      <c r="E85" s="10">
        <v>3</v>
      </c>
    </row>
    <row r="86" spans="1:5" x14ac:dyDescent="0.25">
      <c r="A86" s="2">
        <f t="shared" ref="A86:B86" si="72">A77+1</f>
        <v>44228</v>
      </c>
      <c r="B86" s="6">
        <f t="shared" si="72"/>
        <v>227</v>
      </c>
      <c r="C86" s="2" t="str">
        <f t="shared" si="69"/>
        <v>Andrew</v>
      </c>
      <c r="D86" t="str" cm="1">
        <f t="array" aca="1" ref="D86" ca="1">IF(_xlfn.XLOOKUP($B86,wordle_ids,wordles)="","",_xlfn.XLOOKUP($B86,wordle_ids,wordles))</f>
        <v>THOSE</v>
      </c>
      <c r="E86" s="10">
        <v>4</v>
      </c>
    </row>
    <row r="87" spans="1:5" x14ac:dyDescent="0.25">
      <c r="A87" s="2">
        <f t="shared" ref="A87:B87" si="73">A78+1</f>
        <v>44228</v>
      </c>
      <c r="B87" s="6">
        <f t="shared" si="73"/>
        <v>227</v>
      </c>
      <c r="C87" s="2" t="str">
        <f t="shared" si="69"/>
        <v>Yoyo</v>
      </c>
      <c r="D87" t="str" cm="1">
        <f t="array" aca="1" ref="D87" ca="1">IF(_xlfn.XLOOKUP($B87,wordle_ids,wordles)="","",_xlfn.XLOOKUP($B87,wordle_ids,wordles))</f>
        <v>THOSE</v>
      </c>
      <c r="E87" s="10">
        <v>3</v>
      </c>
    </row>
    <row r="88" spans="1:5" x14ac:dyDescent="0.25">
      <c r="A88" s="2">
        <f t="shared" ref="A88:B88" si="74">A79+1</f>
        <v>44228</v>
      </c>
      <c r="B88" s="6">
        <f t="shared" si="74"/>
        <v>227</v>
      </c>
      <c r="C88" s="2" t="str">
        <f t="shared" si="69"/>
        <v>Henry</v>
      </c>
      <c r="D88" t="str" cm="1">
        <f t="array" aca="1" ref="D88" ca="1">IF(_xlfn.XLOOKUP($B88,wordle_ids,wordles)="","",_xlfn.XLOOKUP($B88,wordle_ids,wordles))</f>
        <v>THOSE</v>
      </c>
      <c r="E88" s="10">
        <v>3</v>
      </c>
    </row>
    <row r="89" spans="1:5" x14ac:dyDescent="0.25">
      <c r="A89" s="2">
        <f t="shared" ref="A89:B89" si="75">A80+1</f>
        <v>44228</v>
      </c>
      <c r="B89" s="6">
        <f t="shared" si="75"/>
        <v>227</v>
      </c>
      <c r="C89" s="2" t="str">
        <f t="shared" si="69"/>
        <v>Aimee</v>
      </c>
      <c r="D89" t="str" cm="1">
        <f t="array" aca="1" ref="D89" ca="1">IF(_xlfn.XLOOKUP($B89,wordle_ids,wordles)="","",_xlfn.XLOOKUP($B89,wordle_ids,wordles))</f>
        <v>THOSE</v>
      </c>
      <c r="E89" s="10"/>
    </row>
    <row r="90" spans="1:5" x14ac:dyDescent="0.25">
      <c r="A90" s="2">
        <f t="shared" ref="A90:B90" si="76">A81+1</f>
        <v>44228</v>
      </c>
      <c r="B90" s="6">
        <f t="shared" si="76"/>
        <v>227</v>
      </c>
      <c r="C90" s="2" t="str">
        <f t="shared" si="69"/>
        <v>Taylor</v>
      </c>
      <c r="D90" t="str" cm="1">
        <f t="array" aca="1" ref="D90" ca="1">IF(_xlfn.XLOOKUP($B90,wordle_ids,wordles)="","",_xlfn.XLOOKUP($B90,wordle_ids,wordles))</f>
        <v>THOSE</v>
      </c>
      <c r="E90" s="10"/>
    </row>
    <row r="91" spans="1:5" x14ac:dyDescent="0.25">
      <c r="A91" s="2">
        <f t="shared" ref="A91:B91" si="77">A82+1</f>
        <v>44228</v>
      </c>
      <c r="B91" s="6">
        <f t="shared" si="77"/>
        <v>227</v>
      </c>
      <c r="C91" s="2" t="str">
        <f t="shared" si="69"/>
        <v>Carly</v>
      </c>
      <c r="D91" t="str" cm="1">
        <f t="array" aca="1" ref="D91" ca="1">IF(_xlfn.XLOOKUP($B91,wordle_ids,wordles)="","",_xlfn.XLOOKUP($B91,wordle_ids,wordles))</f>
        <v>THOSE</v>
      </c>
      <c r="E91" s="10"/>
    </row>
    <row r="92" spans="1:5" x14ac:dyDescent="0.25">
      <c r="A92" s="2">
        <f t="shared" ref="A92:B92" si="78">A83+1</f>
        <v>44229</v>
      </c>
      <c r="B92" s="6">
        <f t="shared" si="78"/>
        <v>228</v>
      </c>
      <c r="C92" s="2" t="str">
        <f t="shared" si="69"/>
        <v>Phil</v>
      </c>
      <c r="D92" t="str" cm="1">
        <f t="array" aca="1" ref="D92" ca="1">IF(_xlfn.XLOOKUP($B92,wordle_ids,wordles)="","",_xlfn.XLOOKUP($B92,wordle_ids,wordles))</f>
        <v>MOIST</v>
      </c>
      <c r="E92" s="10">
        <v>3</v>
      </c>
    </row>
    <row r="93" spans="1:5" x14ac:dyDescent="0.25">
      <c r="A93" s="2">
        <f t="shared" ref="A93:B93" si="79">A84+1</f>
        <v>44229</v>
      </c>
      <c r="B93" s="6">
        <f t="shared" si="79"/>
        <v>228</v>
      </c>
      <c r="C93" s="2" t="str">
        <f t="shared" si="69"/>
        <v>Erik</v>
      </c>
      <c r="D93" t="str" cm="1">
        <f t="array" aca="1" ref="D93" ca="1">IF(_xlfn.XLOOKUP($B93,wordle_ids,wordles)="","",_xlfn.XLOOKUP($B93,wordle_ids,wordles))</f>
        <v>MOIST</v>
      </c>
      <c r="E93" s="10">
        <v>5</v>
      </c>
    </row>
    <row r="94" spans="1:5" x14ac:dyDescent="0.25">
      <c r="A94" s="2">
        <f t="shared" ref="A94:B94" si="80">A85+1</f>
        <v>44229</v>
      </c>
      <c r="B94" s="6">
        <f t="shared" si="80"/>
        <v>228</v>
      </c>
      <c r="C94" s="2" t="str">
        <f t="shared" si="69"/>
        <v>RoBert</v>
      </c>
      <c r="D94" t="str" cm="1">
        <f t="array" aca="1" ref="D94" ca="1">IF(_xlfn.XLOOKUP($B94,wordle_ids,wordles)="","",_xlfn.XLOOKUP($B94,wordle_ids,wordles))</f>
        <v>MOIST</v>
      </c>
      <c r="E94" s="10">
        <v>3</v>
      </c>
    </row>
    <row r="95" spans="1:5" x14ac:dyDescent="0.25">
      <c r="A95" s="2">
        <f t="shared" ref="A95:B95" si="81">A86+1</f>
        <v>44229</v>
      </c>
      <c r="B95" s="6">
        <f t="shared" si="81"/>
        <v>228</v>
      </c>
      <c r="C95" s="2" t="str">
        <f t="shared" si="69"/>
        <v>Andrew</v>
      </c>
      <c r="D95" t="str" cm="1">
        <f t="array" aca="1" ref="D95" ca="1">IF(_xlfn.XLOOKUP($B95,wordle_ids,wordles)="","",_xlfn.XLOOKUP($B95,wordle_ids,wordles))</f>
        <v>MOIST</v>
      </c>
      <c r="E95" s="10">
        <v>4</v>
      </c>
    </row>
    <row r="96" spans="1:5" x14ac:dyDescent="0.25">
      <c r="A96" s="2">
        <f t="shared" ref="A96:B96" si="82">A87+1</f>
        <v>44229</v>
      </c>
      <c r="B96" s="6">
        <f t="shared" si="82"/>
        <v>228</v>
      </c>
      <c r="C96" s="2" t="str">
        <f t="shared" si="69"/>
        <v>Yoyo</v>
      </c>
      <c r="D96" t="str" cm="1">
        <f t="array" aca="1" ref="D96" ca="1">IF(_xlfn.XLOOKUP($B96,wordle_ids,wordles)="","",_xlfn.XLOOKUP($B96,wordle_ids,wordles))</f>
        <v>MOIST</v>
      </c>
      <c r="E96" s="10">
        <v>4</v>
      </c>
    </row>
    <row r="97" spans="1:5" x14ac:dyDescent="0.25">
      <c r="A97" s="2">
        <f t="shared" ref="A97:B97" si="83">A88+1</f>
        <v>44229</v>
      </c>
      <c r="B97" s="6">
        <f t="shared" si="83"/>
        <v>228</v>
      </c>
      <c r="C97" s="2" t="str">
        <f t="shared" si="69"/>
        <v>Henry</v>
      </c>
      <c r="D97" t="str" cm="1">
        <f t="array" aca="1" ref="D97" ca="1">IF(_xlfn.XLOOKUP($B97,wordle_ids,wordles)="","",_xlfn.XLOOKUP($B97,wordle_ids,wordles))</f>
        <v>MOIST</v>
      </c>
      <c r="E97" s="10">
        <v>6</v>
      </c>
    </row>
    <row r="98" spans="1:5" x14ac:dyDescent="0.25">
      <c r="A98" s="2">
        <f t="shared" ref="A98:B98" si="84">A89+1</f>
        <v>44229</v>
      </c>
      <c r="B98" s="6">
        <f t="shared" si="84"/>
        <v>228</v>
      </c>
      <c r="C98" s="2" t="str">
        <f t="shared" si="69"/>
        <v>Aimee</v>
      </c>
      <c r="D98" t="str" cm="1">
        <f t="array" aca="1" ref="D98" ca="1">IF(_xlfn.XLOOKUP($B98,wordle_ids,wordles)="","",_xlfn.XLOOKUP($B98,wordle_ids,wordles))</f>
        <v>MOIST</v>
      </c>
      <c r="E98" s="10">
        <v>4</v>
      </c>
    </row>
    <row r="99" spans="1:5" x14ac:dyDescent="0.25">
      <c r="A99" s="2">
        <f t="shared" ref="A99:B99" si="85">A90+1</f>
        <v>44229</v>
      </c>
      <c r="B99" s="6">
        <f t="shared" si="85"/>
        <v>228</v>
      </c>
      <c r="C99" s="2" t="str">
        <f t="shared" si="69"/>
        <v>Taylor</v>
      </c>
      <c r="D99" t="str" cm="1">
        <f t="array" aca="1" ref="D99" ca="1">IF(_xlfn.XLOOKUP($B99,wordle_ids,wordles)="","",_xlfn.XLOOKUP($B99,wordle_ids,wordles))</f>
        <v>MOIST</v>
      </c>
      <c r="E99" s="10"/>
    </row>
    <row r="100" spans="1:5" x14ac:dyDescent="0.25">
      <c r="A100" s="2">
        <f t="shared" ref="A100:B100" si="86">A91+1</f>
        <v>44229</v>
      </c>
      <c r="B100" s="6">
        <f t="shared" si="86"/>
        <v>228</v>
      </c>
      <c r="C100" s="2" t="str">
        <f t="shared" si="69"/>
        <v>Carly</v>
      </c>
      <c r="D100" t="str" cm="1">
        <f t="array" aca="1" ref="D100" ca="1">IF(_xlfn.XLOOKUP($B100,wordle_ids,wordles)="","",_xlfn.XLOOKUP($B100,wordle_ids,wordles))</f>
        <v>MOIST</v>
      </c>
      <c r="E100" s="10"/>
    </row>
    <row r="101" spans="1:5" x14ac:dyDescent="0.25">
      <c r="A101" s="2">
        <f t="shared" ref="A101:B101" si="87">A92+1</f>
        <v>44230</v>
      </c>
      <c r="B101" s="6">
        <f t="shared" si="87"/>
        <v>229</v>
      </c>
      <c r="C101" s="2" t="str">
        <f t="shared" si="69"/>
        <v>Phil</v>
      </c>
      <c r="D101" t="str" cm="1">
        <f t="array" aca="1" ref="D101" ca="1">IF(_xlfn.XLOOKUP($B101,wordle_ids,wordles)="","",_xlfn.XLOOKUP($B101,wordle_ids,wordles))</f>
        <v>SHARD</v>
      </c>
      <c r="E101" s="10">
        <v>5</v>
      </c>
    </row>
    <row r="102" spans="1:5" x14ac:dyDescent="0.25">
      <c r="A102" s="2">
        <f t="shared" ref="A102:B102" si="88">A93+1</f>
        <v>44230</v>
      </c>
      <c r="B102" s="6">
        <f t="shared" si="88"/>
        <v>229</v>
      </c>
      <c r="C102" s="2" t="str">
        <f t="shared" si="69"/>
        <v>Erik</v>
      </c>
      <c r="D102" t="str" cm="1">
        <f t="array" aca="1" ref="D102" ca="1">IF(_xlfn.XLOOKUP($B102,wordle_ids,wordles)="","",_xlfn.XLOOKUP($B102,wordle_ids,wordles))</f>
        <v>SHARD</v>
      </c>
      <c r="E102" s="10">
        <v>5</v>
      </c>
    </row>
    <row r="103" spans="1:5" x14ac:dyDescent="0.25">
      <c r="A103" s="2">
        <f t="shared" ref="A103:B103" si="89">A94+1</f>
        <v>44230</v>
      </c>
      <c r="B103" s="6">
        <f t="shared" si="89"/>
        <v>229</v>
      </c>
      <c r="C103" s="2" t="str">
        <f t="shared" si="69"/>
        <v>RoBert</v>
      </c>
      <c r="D103" t="str" cm="1">
        <f t="array" aca="1" ref="D103" ca="1">IF(_xlfn.XLOOKUP($B103,wordle_ids,wordles)="","",_xlfn.XLOOKUP($B103,wordle_ids,wordles))</f>
        <v>SHARD</v>
      </c>
      <c r="E103" s="10">
        <v>5</v>
      </c>
    </row>
    <row r="104" spans="1:5" x14ac:dyDescent="0.25">
      <c r="A104" s="2">
        <f t="shared" ref="A104:B104" si="90">A95+1</f>
        <v>44230</v>
      </c>
      <c r="B104" s="6">
        <f t="shared" si="90"/>
        <v>229</v>
      </c>
      <c r="C104" s="2" t="str">
        <f t="shared" si="69"/>
        <v>Andrew</v>
      </c>
      <c r="D104" t="str" cm="1">
        <f t="array" aca="1" ref="D104" ca="1">IF(_xlfn.XLOOKUP($B104,wordle_ids,wordles)="","",_xlfn.XLOOKUP($B104,wordle_ids,wordles))</f>
        <v>SHARD</v>
      </c>
      <c r="E104" s="10">
        <v>4</v>
      </c>
    </row>
    <row r="105" spans="1:5" x14ac:dyDescent="0.25">
      <c r="A105" s="2">
        <f t="shared" ref="A105:B105" si="91">A96+1</f>
        <v>44230</v>
      </c>
      <c r="B105" s="6">
        <f t="shared" si="91"/>
        <v>229</v>
      </c>
      <c r="C105" s="2" t="str">
        <f t="shared" si="69"/>
        <v>Yoyo</v>
      </c>
      <c r="D105" t="str" cm="1">
        <f t="array" aca="1" ref="D105" ca="1">IF(_xlfn.XLOOKUP($B105,wordle_ids,wordles)="","",_xlfn.XLOOKUP($B105,wordle_ids,wordles))</f>
        <v>SHARD</v>
      </c>
      <c r="E105" s="10">
        <v>4</v>
      </c>
    </row>
    <row r="106" spans="1:5" x14ac:dyDescent="0.25">
      <c r="A106" s="2">
        <f t="shared" ref="A106:B106" si="92">A97+1</f>
        <v>44230</v>
      </c>
      <c r="B106" s="6">
        <f t="shared" si="92"/>
        <v>229</v>
      </c>
      <c r="C106" s="2" t="str">
        <f t="shared" si="69"/>
        <v>Henry</v>
      </c>
      <c r="D106" t="str" cm="1">
        <f t="array" aca="1" ref="D106" ca="1">IF(_xlfn.XLOOKUP($B106,wordle_ids,wordles)="","",_xlfn.XLOOKUP($B106,wordle_ids,wordles))</f>
        <v>SHARD</v>
      </c>
      <c r="E106" s="10">
        <v>4</v>
      </c>
    </row>
    <row r="107" spans="1:5" x14ac:dyDescent="0.25">
      <c r="A107" s="2">
        <f t="shared" ref="A107:B107" si="93">A98+1</f>
        <v>44230</v>
      </c>
      <c r="B107" s="6">
        <f t="shared" si="93"/>
        <v>229</v>
      </c>
      <c r="C107" s="2" t="str">
        <f t="shared" si="69"/>
        <v>Aimee</v>
      </c>
      <c r="D107" t="str" cm="1">
        <f t="array" aca="1" ref="D107" ca="1">IF(_xlfn.XLOOKUP($B107,wordle_ids,wordles)="","",_xlfn.XLOOKUP($B107,wordle_ids,wordles))</f>
        <v>SHARD</v>
      </c>
      <c r="E107" s="10">
        <v>4</v>
      </c>
    </row>
    <row r="108" spans="1:5" x14ac:dyDescent="0.25">
      <c r="A108" s="2">
        <f t="shared" ref="A108:B108" si="94">A99+1</f>
        <v>44230</v>
      </c>
      <c r="B108" s="6">
        <f t="shared" si="94"/>
        <v>229</v>
      </c>
      <c r="C108" s="2" t="str">
        <f t="shared" si="69"/>
        <v>Taylor</v>
      </c>
      <c r="D108" t="str" cm="1">
        <f t="array" aca="1" ref="D108" ca="1">IF(_xlfn.XLOOKUP($B108,wordle_ids,wordles)="","",_xlfn.XLOOKUP($B108,wordle_ids,wordles))</f>
        <v>SHARD</v>
      </c>
      <c r="E108" s="10"/>
    </row>
    <row r="109" spans="1:5" x14ac:dyDescent="0.25">
      <c r="A109" s="2">
        <f t="shared" ref="A109:B109" si="95">A100+1</f>
        <v>44230</v>
      </c>
      <c r="B109" s="6">
        <f t="shared" si="95"/>
        <v>229</v>
      </c>
      <c r="C109" s="2" t="str">
        <f t="shared" si="69"/>
        <v>Carly</v>
      </c>
      <c r="D109" t="str" cm="1">
        <f t="array" aca="1" ref="D109" ca="1">IF(_xlfn.XLOOKUP($B109,wordle_ids,wordles)="","",_xlfn.XLOOKUP($B109,wordle_ids,wordles))</f>
        <v>SHARD</v>
      </c>
      <c r="E109" s="10"/>
    </row>
    <row r="110" spans="1:5" x14ac:dyDescent="0.25">
      <c r="A110" s="2">
        <f t="shared" ref="A110:B110" si="96">A101+1</f>
        <v>44231</v>
      </c>
      <c r="B110" s="6">
        <f t="shared" si="96"/>
        <v>230</v>
      </c>
      <c r="C110" s="2" t="str">
        <f t="shared" si="69"/>
        <v>Phil</v>
      </c>
      <c r="D110" t="str" cm="1">
        <f t="array" aca="1" ref="D110" ca="1">IF(_xlfn.XLOOKUP($B110,wordle_ids,wordles)="","",_xlfn.XLOOKUP($B110,wordle_ids,wordles))</f>
        <v>PLEAT</v>
      </c>
      <c r="E110" s="10">
        <v>6</v>
      </c>
    </row>
    <row r="111" spans="1:5" x14ac:dyDescent="0.25">
      <c r="A111" s="2">
        <f t="shared" ref="A111:B111" si="97">A102+1</f>
        <v>44231</v>
      </c>
      <c r="B111" s="6">
        <f t="shared" si="97"/>
        <v>230</v>
      </c>
      <c r="C111" s="2" t="str">
        <f t="shared" si="69"/>
        <v>Erik</v>
      </c>
      <c r="D111" t="str" cm="1">
        <f t="array" aca="1" ref="D111" ca="1">IF(_xlfn.XLOOKUP($B111,wordle_ids,wordles)="","",_xlfn.XLOOKUP($B111,wordle_ids,wordles))</f>
        <v>PLEAT</v>
      </c>
      <c r="E111" s="10">
        <v>5</v>
      </c>
    </row>
    <row r="112" spans="1:5" x14ac:dyDescent="0.25">
      <c r="A112" s="2">
        <f t="shared" ref="A112:B112" si="98">A103+1</f>
        <v>44231</v>
      </c>
      <c r="B112" s="6">
        <f t="shared" si="98"/>
        <v>230</v>
      </c>
      <c r="C112" s="2" t="str">
        <f t="shared" si="69"/>
        <v>RoBert</v>
      </c>
      <c r="D112" t="str" cm="1">
        <f t="array" aca="1" ref="D112" ca="1">IF(_xlfn.XLOOKUP($B112,wordle_ids,wordles)="","",_xlfn.XLOOKUP($B112,wordle_ids,wordles))</f>
        <v>PLEAT</v>
      </c>
      <c r="E112" s="10">
        <v>3</v>
      </c>
    </row>
    <row r="113" spans="1:5" x14ac:dyDescent="0.25">
      <c r="A113" s="2">
        <f t="shared" ref="A113:B113" si="99">A104+1</f>
        <v>44231</v>
      </c>
      <c r="B113" s="6">
        <f t="shared" si="99"/>
        <v>230</v>
      </c>
      <c r="C113" s="2" t="str">
        <f t="shared" si="69"/>
        <v>Andrew</v>
      </c>
      <c r="D113" t="str" cm="1">
        <f t="array" aca="1" ref="D113" ca="1">IF(_xlfn.XLOOKUP($B113,wordle_ids,wordles)="","",_xlfn.XLOOKUP($B113,wordle_ids,wordles))</f>
        <v>PLEAT</v>
      </c>
      <c r="E113" s="10">
        <v>5</v>
      </c>
    </row>
    <row r="114" spans="1:5" x14ac:dyDescent="0.25">
      <c r="A114" s="2">
        <f t="shared" ref="A114:B114" si="100">A105+1</f>
        <v>44231</v>
      </c>
      <c r="B114" s="6">
        <f t="shared" si="100"/>
        <v>230</v>
      </c>
      <c r="C114" s="2" t="str">
        <f t="shared" si="69"/>
        <v>Yoyo</v>
      </c>
      <c r="D114" t="str" cm="1">
        <f t="array" aca="1" ref="D114" ca="1">IF(_xlfn.XLOOKUP($B114,wordle_ids,wordles)="","",_xlfn.XLOOKUP($B114,wordle_ids,wordles))</f>
        <v>PLEAT</v>
      </c>
      <c r="E114" s="10">
        <v>5</v>
      </c>
    </row>
    <row r="115" spans="1:5" x14ac:dyDescent="0.25">
      <c r="A115" s="2">
        <f t="shared" ref="A115:B115" si="101">A106+1</f>
        <v>44231</v>
      </c>
      <c r="B115" s="6">
        <f t="shared" si="101"/>
        <v>230</v>
      </c>
      <c r="C115" s="2" t="str">
        <f t="shared" si="69"/>
        <v>Henry</v>
      </c>
      <c r="D115" t="str" cm="1">
        <f t="array" aca="1" ref="D115" ca="1">IF(_xlfn.XLOOKUP($B115,wordle_ids,wordles)="","",_xlfn.XLOOKUP($B115,wordle_ids,wordles))</f>
        <v>PLEAT</v>
      </c>
      <c r="E115" s="10">
        <v>4</v>
      </c>
    </row>
    <row r="116" spans="1:5" x14ac:dyDescent="0.25">
      <c r="A116" s="2">
        <f t="shared" ref="A116:B116" si="102">A107+1</f>
        <v>44231</v>
      </c>
      <c r="B116" s="6">
        <f t="shared" si="102"/>
        <v>230</v>
      </c>
      <c r="C116" s="2" t="str">
        <f t="shared" si="69"/>
        <v>Aimee</v>
      </c>
      <c r="D116" t="str" cm="1">
        <f t="array" aca="1" ref="D116" ca="1">IF(_xlfn.XLOOKUP($B116,wordle_ids,wordles)="","",_xlfn.XLOOKUP($B116,wordle_ids,wordles))</f>
        <v>PLEAT</v>
      </c>
      <c r="E116" s="10">
        <v>4</v>
      </c>
    </row>
    <row r="117" spans="1:5" x14ac:dyDescent="0.25">
      <c r="A117" s="2">
        <f t="shared" ref="A117:B117" si="103">A108+1</f>
        <v>44231</v>
      </c>
      <c r="B117" s="6">
        <f t="shared" si="103"/>
        <v>230</v>
      </c>
      <c r="C117" s="2" t="str">
        <f t="shared" si="69"/>
        <v>Taylor</v>
      </c>
      <c r="D117" t="str" cm="1">
        <f t="array" aca="1" ref="D117" ca="1">IF(_xlfn.XLOOKUP($B117,wordle_ids,wordles)="","",_xlfn.XLOOKUP($B117,wordle_ids,wordles))</f>
        <v>PLEAT</v>
      </c>
      <c r="E117" s="10"/>
    </row>
    <row r="118" spans="1:5" x14ac:dyDescent="0.25">
      <c r="A118" s="2">
        <f t="shared" ref="A118:B118" si="104">A109+1</f>
        <v>44231</v>
      </c>
      <c r="B118" s="6">
        <f t="shared" si="104"/>
        <v>230</v>
      </c>
      <c r="C118" s="2" t="str">
        <f t="shared" si="69"/>
        <v>Carly</v>
      </c>
      <c r="D118" t="str" cm="1">
        <f t="array" aca="1" ref="D118" ca="1">IF(_xlfn.XLOOKUP($B118,wordle_ids,wordles)="","",_xlfn.XLOOKUP($B118,wordle_ids,wordles))</f>
        <v>PLEAT</v>
      </c>
      <c r="E118" s="10"/>
    </row>
    <row r="119" spans="1:5" x14ac:dyDescent="0.25">
      <c r="A119" s="2">
        <f t="shared" ref="A119:B119" si="105">A110+1</f>
        <v>44232</v>
      </c>
      <c r="B119" s="6">
        <f t="shared" si="105"/>
        <v>231</v>
      </c>
      <c r="C119" s="2" t="str">
        <f t="shared" si="69"/>
        <v>Phil</v>
      </c>
      <c r="D119" t="str" cm="1">
        <f t="array" aca="1" ref="D119" ca="1">IF(_xlfn.XLOOKUP($B119,wordle_ids,wordles)="","",_xlfn.XLOOKUP($B119,wordle_ids,wordles))</f>
        <v>ALOFT</v>
      </c>
      <c r="E119" s="10" t="s">
        <v>18</v>
      </c>
    </row>
    <row r="120" spans="1:5" x14ac:dyDescent="0.25">
      <c r="A120" s="2">
        <f t="shared" ref="A120:B120" si="106">A111+1</f>
        <v>44232</v>
      </c>
      <c r="B120" s="6">
        <f t="shared" si="106"/>
        <v>231</v>
      </c>
      <c r="C120" s="2" t="str">
        <f t="shared" si="69"/>
        <v>Erik</v>
      </c>
      <c r="D120" t="str" cm="1">
        <f t="array" aca="1" ref="D120" ca="1">IF(_xlfn.XLOOKUP($B120,wordle_ids,wordles)="","",_xlfn.XLOOKUP($B120,wordle_ids,wordles))</f>
        <v>ALOFT</v>
      </c>
      <c r="E120" s="10">
        <v>4</v>
      </c>
    </row>
    <row r="121" spans="1:5" x14ac:dyDescent="0.25">
      <c r="A121" s="2">
        <f t="shared" ref="A121:B121" si="107">A112+1</f>
        <v>44232</v>
      </c>
      <c r="B121" s="6">
        <f t="shared" si="107"/>
        <v>231</v>
      </c>
      <c r="C121" s="2" t="str">
        <f t="shared" si="69"/>
        <v>RoBert</v>
      </c>
      <c r="D121" t="str" cm="1">
        <f t="array" aca="1" ref="D121" ca="1">IF(_xlfn.XLOOKUP($B121,wordle_ids,wordles)="","",_xlfn.XLOOKUP($B121,wordle_ids,wordles))</f>
        <v>ALOFT</v>
      </c>
      <c r="E121" s="10">
        <v>4</v>
      </c>
    </row>
    <row r="122" spans="1:5" x14ac:dyDescent="0.25">
      <c r="A122" s="2">
        <f t="shared" ref="A122:B122" si="108">A113+1</f>
        <v>44232</v>
      </c>
      <c r="B122" s="6">
        <f t="shared" si="108"/>
        <v>231</v>
      </c>
      <c r="C122" s="2" t="str">
        <f t="shared" si="69"/>
        <v>Andrew</v>
      </c>
      <c r="D122" t="str" cm="1">
        <f t="array" aca="1" ref="D122" ca="1">IF(_xlfn.XLOOKUP($B122,wordle_ids,wordles)="","",_xlfn.XLOOKUP($B122,wordle_ids,wordles))</f>
        <v>ALOFT</v>
      </c>
      <c r="E122" s="10">
        <v>4</v>
      </c>
    </row>
    <row r="123" spans="1:5" x14ac:dyDescent="0.25">
      <c r="A123" s="2">
        <f t="shared" ref="A123:B123" si="109">A114+1</f>
        <v>44232</v>
      </c>
      <c r="B123" s="6">
        <f t="shared" si="109"/>
        <v>231</v>
      </c>
      <c r="C123" s="2" t="str">
        <f t="shared" si="69"/>
        <v>Yoyo</v>
      </c>
      <c r="D123" t="str" cm="1">
        <f t="array" aca="1" ref="D123" ca="1">IF(_xlfn.XLOOKUP($B123,wordle_ids,wordles)="","",_xlfn.XLOOKUP($B123,wordle_ids,wordles))</f>
        <v>ALOFT</v>
      </c>
      <c r="E123" s="10">
        <v>4</v>
      </c>
    </row>
    <row r="124" spans="1:5" x14ac:dyDescent="0.25">
      <c r="A124" s="2">
        <f t="shared" ref="A124:B124" si="110">A115+1</f>
        <v>44232</v>
      </c>
      <c r="B124" s="6">
        <f t="shared" si="110"/>
        <v>231</v>
      </c>
      <c r="C124" s="2" t="str">
        <f t="shared" si="69"/>
        <v>Henry</v>
      </c>
      <c r="D124" t="str" cm="1">
        <f t="array" aca="1" ref="D124" ca="1">IF(_xlfn.XLOOKUP($B124,wordle_ids,wordles)="","",_xlfn.XLOOKUP($B124,wordle_ids,wordles))</f>
        <v>ALOFT</v>
      </c>
      <c r="E124" s="10">
        <v>4</v>
      </c>
    </row>
    <row r="125" spans="1:5" x14ac:dyDescent="0.25">
      <c r="A125" s="2">
        <f t="shared" ref="A125:B125" si="111">A116+1</f>
        <v>44232</v>
      </c>
      <c r="B125" s="6">
        <f t="shared" si="111"/>
        <v>231</v>
      </c>
      <c r="C125" s="2" t="str">
        <f t="shared" si="69"/>
        <v>Aimee</v>
      </c>
      <c r="D125" t="str" cm="1">
        <f t="array" aca="1" ref="D125" ca="1">IF(_xlfn.XLOOKUP($B125,wordle_ids,wordles)="","",_xlfn.XLOOKUP($B125,wordle_ids,wordles))</f>
        <v>ALOFT</v>
      </c>
      <c r="E125" s="10">
        <v>4</v>
      </c>
    </row>
    <row r="126" spans="1:5" x14ac:dyDescent="0.25">
      <c r="A126" s="2">
        <f t="shared" ref="A126:B126" si="112">A117+1</f>
        <v>44232</v>
      </c>
      <c r="B126" s="6">
        <f t="shared" si="112"/>
        <v>231</v>
      </c>
      <c r="C126" s="2" t="str">
        <f t="shared" si="69"/>
        <v>Taylor</v>
      </c>
      <c r="D126" t="str" cm="1">
        <f t="array" aca="1" ref="D126" ca="1">IF(_xlfn.XLOOKUP($B126,wordle_ids,wordles)="","",_xlfn.XLOOKUP($B126,wordle_ids,wordles))</f>
        <v>ALOFT</v>
      </c>
      <c r="E126" s="10"/>
    </row>
    <row r="127" spans="1:5" x14ac:dyDescent="0.25">
      <c r="A127" s="2">
        <f t="shared" ref="A127:B127" si="113">A118+1</f>
        <v>44232</v>
      </c>
      <c r="B127" s="6">
        <f t="shared" si="113"/>
        <v>231</v>
      </c>
      <c r="C127" s="2" t="str">
        <f t="shared" si="69"/>
        <v>Carly</v>
      </c>
      <c r="D127" t="str" cm="1">
        <f t="array" aca="1" ref="D127" ca="1">IF(_xlfn.XLOOKUP($B127,wordle_ids,wordles)="","",_xlfn.XLOOKUP($B127,wordle_ids,wordles))</f>
        <v>ALOFT</v>
      </c>
      <c r="E127" s="10"/>
    </row>
    <row r="128" spans="1:5" x14ac:dyDescent="0.25">
      <c r="A128" s="2">
        <f t="shared" ref="A128:B128" si="114">A119+1</f>
        <v>44233</v>
      </c>
      <c r="B128" s="6">
        <f t="shared" si="114"/>
        <v>232</v>
      </c>
      <c r="C128" s="2" t="str">
        <f t="shared" si="69"/>
        <v>Phil</v>
      </c>
      <c r="D128" t="str" cm="1">
        <f t="array" aca="1" ref="D128" ca="1">IF(_xlfn.XLOOKUP($B128,wordle_ids,wordles)="","",_xlfn.XLOOKUP($B128,wordle_ids,wordles))</f>
        <v>SKILL</v>
      </c>
      <c r="E128" s="10">
        <v>5</v>
      </c>
    </row>
    <row r="129" spans="1:5" x14ac:dyDescent="0.25">
      <c r="A129" s="2">
        <f t="shared" ref="A129:B129" si="115">A120+1</f>
        <v>44233</v>
      </c>
      <c r="B129" s="6">
        <f t="shared" si="115"/>
        <v>232</v>
      </c>
      <c r="C129" s="2" t="str">
        <f t="shared" si="69"/>
        <v>Erik</v>
      </c>
      <c r="D129" t="str" cm="1">
        <f t="array" aca="1" ref="D129" ca="1">IF(_xlfn.XLOOKUP($B129,wordle_ids,wordles)="","",_xlfn.XLOOKUP($B129,wordle_ids,wordles))</f>
        <v>SKILL</v>
      </c>
      <c r="E129" s="10">
        <v>5</v>
      </c>
    </row>
    <row r="130" spans="1:5" x14ac:dyDescent="0.25">
      <c r="A130" s="2">
        <f t="shared" ref="A130:B130" si="116">A121+1</f>
        <v>44233</v>
      </c>
      <c r="B130" s="6">
        <f t="shared" si="116"/>
        <v>232</v>
      </c>
      <c r="C130" s="2" t="str">
        <f t="shared" si="69"/>
        <v>RoBert</v>
      </c>
      <c r="D130" t="str" cm="1">
        <f t="array" aca="1" ref="D130" ca="1">IF(_xlfn.XLOOKUP($B130,wordle_ids,wordles)="","",_xlfn.XLOOKUP($B130,wordle_ids,wordles))</f>
        <v>SKILL</v>
      </c>
      <c r="E130" s="10">
        <v>5</v>
      </c>
    </row>
    <row r="131" spans="1:5" x14ac:dyDescent="0.25">
      <c r="A131" s="2">
        <f t="shared" ref="A131:B131" si="117">A122+1</f>
        <v>44233</v>
      </c>
      <c r="B131" s="6">
        <f t="shared" si="117"/>
        <v>232</v>
      </c>
      <c r="C131" s="2" t="str">
        <f t="shared" si="69"/>
        <v>Andrew</v>
      </c>
      <c r="D131" t="str" cm="1">
        <f t="array" aca="1" ref="D131" ca="1">IF(_xlfn.XLOOKUP($B131,wordle_ids,wordles)="","",_xlfn.XLOOKUP($B131,wordle_ids,wordles))</f>
        <v>SKILL</v>
      </c>
      <c r="E131" s="10">
        <v>5</v>
      </c>
    </row>
    <row r="132" spans="1:5" x14ac:dyDescent="0.25">
      <c r="A132" s="2">
        <f t="shared" ref="A132:B132" si="118">A123+1</f>
        <v>44233</v>
      </c>
      <c r="B132" s="6">
        <f t="shared" si="118"/>
        <v>232</v>
      </c>
      <c r="C132" s="2" t="str">
        <f t="shared" si="69"/>
        <v>Yoyo</v>
      </c>
      <c r="D132" t="str" cm="1">
        <f t="array" aca="1" ref="D132" ca="1">IF(_xlfn.XLOOKUP($B132,wordle_ids,wordles)="","",_xlfn.XLOOKUP($B132,wordle_ids,wordles))</f>
        <v>SKILL</v>
      </c>
      <c r="E132" s="10">
        <v>4</v>
      </c>
    </row>
    <row r="133" spans="1:5" x14ac:dyDescent="0.25">
      <c r="A133" s="2">
        <f t="shared" ref="A133:B133" si="119">A124+1</f>
        <v>44233</v>
      </c>
      <c r="B133" s="6">
        <f t="shared" si="119"/>
        <v>232</v>
      </c>
      <c r="C133" s="2" t="str">
        <f t="shared" si="69"/>
        <v>Henry</v>
      </c>
      <c r="D133" t="str" cm="1">
        <f t="array" aca="1" ref="D133" ca="1">IF(_xlfn.XLOOKUP($B133,wordle_ids,wordles)="","",_xlfn.XLOOKUP($B133,wordle_ids,wordles))</f>
        <v>SKILL</v>
      </c>
      <c r="E133" s="10">
        <v>5</v>
      </c>
    </row>
    <row r="134" spans="1:5" x14ac:dyDescent="0.25">
      <c r="A134" s="2">
        <f t="shared" ref="A134:B134" si="120">A125+1</f>
        <v>44233</v>
      </c>
      <c r="B134" s="6">
        <f t="shared" si="120"/>
        <v>232</v>
      </c>
      <c r="C134" s="2" t="str">
        <f t="shared" si="69"/>
        <v>Aimee</v>
      </c>
      <c r="D134" t="str" cm="1">
        <f t="array" aca="1" ref="D134" ca="1">IF(_xlfn.XLOOKUP($B134,wordle_ids,wordles)="","",_xlfn.XLOOKUP($B134,wordle_ids,wordles))</f>
        <v>SKILL</v>
      </c>
      <c r="E134" s="10">
        <v>4</v>
      </c>
    </row>
    <row r="135" spans="1:5" x14ac:dyDescent="0.25">
      <c r="A135" s="2">
        <f t="shared" ref="A135:B135" si="121">A126+1</f>
        <v>44233</v>
      </c>
      <c r="B135" s="6">
        <f t="shared" si="121"/>
        <v>232</v>
      </c>
      <c r="C135" s="2" t="str">
        <f t="shared" si="69"/>
        <v>Taylor</v>
      </c>
      <c r="D135" t="str" cm="1">
        <f t="array" aca="1" ref="D135" ca="1">IF(_xlfn.XLOOKUP($B135,wordle_ids,wordles)="","",_xlfn.XLOOKUP($B135,wordle_ids,wordles))</f>
        <v>SKILL</v>
      </c>
      <c r="E135" s="10"/>
    </row>
    <row r="136" spans="1:5" x14ac:dyDescent="0.25">
      <c r="A136" s="2">
        <f t="shared" ref="A136:B136" si="122">A127+1</f>
        <v>44233</v>
      </c>
      <c r="B136" s="6">
        <f t="shared" si="122"/>
        <v>232</v>
      </c>
      <c r="C136" s="2" t="str">
        <f t="shared" si="69"/>
        <v>Carly</v>
      </c>
      <c r="D136" t="str" cm="1">
        <f t="array" aca="1" ref="D136" ca="1">IF(_xlfn.XLOOKUP($B136,wordle_ids,wordles)="","",_xlfn.XLOOKUP($B136,wordle_ids,wordles))</f>
        <v>SKILL</v>
      </c>
      <c r="E136" s="10"/>
    </row>
    <row r="137" spans="1:5" x14ac:dyDescent="0.25">
      <c r="A137" s="2">
        <f t="shared" ref="A137:B137" si="123">A128+1</f>
        <v>44234</v>
      </c>
      <c r="B137" s="6">
        <f t="shared" si="123"/>
        <v>233</v>
      </c>
      <c r="C137" s="2" t="str">
        <f t="shared" si="69"/>
        <v>Phil</v>
      </c>
      <c r="D137" t="str" cm="1">
        <f t="array" aca="1" ref="D137" ca="1">IF(_xlfn.XLOOKUP($B137,wordle_ids,wordles)="","",_xlfn.XLOOKUP($B137,wordle_ids,wordles))</f>
        <v>ELDER</v>
      </c>
      <c r="E137" s="10">
        <v>6</v>
      </c>
    </row>
    <row r="138" spans="1:5" x14ac:dyDescent="0.25">
      <c r="A138" s="2">
        <f t="shared" ref="A138:B138" si="124">A129+1</f>
        <v>44234</v>
      </c>
      <c r="B138" s="6">
        <f t="shared" si="124"/>
        <v>233</v>
      </c>
      <c r="C138" s="2" t="str">
        <f t="shared" si="69"/>
        <v>Erik</v>
      </c>
      <c r="D138" t="str" cm="1">
        <f t="array" aca="1" ref="D138" ca="1">IF(_xlfn.XLOOKUP($B138,wordle_ids,wordles)="","",_xlfn.XLOOKUP($B138,wordle_ids,wordles))</f>
        <v>ELDER</v>
      </c>
      <c r="E138" s="10">
        <v>5</v>
      </c>
    </row>
    <row r="139" spans="1:5" x14ac:dyDescent="0.25">
      <c r="A139" s="2">
        <f t="shared" ref="A139:B139" si="125">A130+1</f>
        <v>44234</v>
      </c>
      <c r="B139" s="6">
        <f t="shared" si="125"/>
        <v>233</v>
      </c>
      <c r="C139" s="2" t="str">
        <f t="shared" si="69"/>
        <v>RoBert</v>
      </c>
      <c r="D139" t="str" cm="1">
        <f t="array" aca="1" ref="D139" ca="1">IF(_xlfn.XLOOKUP($B139,wordle_ids,wordles)="","",_xlfn.XLOOKUP($B139,wordle_ids,wordles))</f>
        <v>ELDER</v>
      </c>
      <c r="E139" s="10">
        <v>4</v>
      </c>
    </row>
    <row r="140" spans="1:5" x14ac:dyDescent="0.25">
      <c r="A140" s="2">
        <f t="shared" ref="A140:B140" si="126">A131+1</f>
        <v>44234</v>
      </c>
      <c r="B140" s="6">
        <f t="shared" si="126"/>
        <v>233</v>
      </c>
      <c r="C140" s="2" t="str">
        <f t="shared" si="69"/>
        <v>Andrew</v>
      </c>
      <c r="D140" t="str" cm="1">
        <f t="array" aca="1" ref="D140" ca="1">IF(_xlfn.XLOOKUP($B140,wordle_ids,wordles)="","",_xlfn.XLOOKUP($B140,wordle_ids,wordles))</f>
        <v>ELDER</v>
      </c>
      <c r="E140" s="10">
        <v>4</v>
      </c>
    </row>
    <row r="141" spans="1:5" x14ac:dyDescent="0.25">
      <c r="A141" s="2">
        <f t="shared" ref="A141:B141" si="127">A132+1</f>
        <v>44234</v>
      </c>
      <c r="B141" s="6">
        <f t="shared" si="127"/>
        <v>233</v>
      </c>
      <c r="C141" s="2" t="str">
        <f t="shared" si="69"/>
        <v>Yoyo</v>
      </c>
      <c r="D141" t="str" cm="1">
        <f t="array" aca="1" ref="D141" ca="1">IF(_xlfn.XLOOKUP($B141,wordle_ids,wordles)="","",_xlfn.XLOOKUP($B141,wordle_ids,wordles))</f>
        <v>ELDER</v>
      </c>
      <c r="E141" s="10">
        <v>3</v>
      </c>
    </row>
    <row r="142" spans="1:5" x14ac:dyDescent="0.25">
      <c r="A142" s="2">
        <f t="shared" ref="A142:B142" si="128">A133+1</f>
        <v>44234</v>
      </c>
      <c r="B142" s="6">
        <f t="shared" si="128"/>
        <v>233</v>
      </c>
      <c r="C142" s="2" t="str">
        <f t="shared" si="69"/>
        <v>Henry</v>
      </c>
      <c r="D142" t="str" cm="1">
        <f t="array" aca="1" ref="D142" ca="1">IF(_xlfn.XLOOKUP($B142,wordle_ids,wordles)="","",_xlfn.XLOOKUP($B142,wordle_ids,wordles))</f>
        <v>ELDER</v>
      </c>
      <c r="E142" s="10">
        <v>4</v>
      </c>
    </row>
    <row r="143" spans="1:5" x14ac:dyDescent="0.25">
      <c r="A143" s="2">
        <f t="shared" ref="A143:B145" si="129">A134+1</f>
        <v>44234</v>
      </c>
      <c r="B143" s="6">
        <f t="shared" si="129"/>
        <v>233</v>
      </c>
      <c r="C143" s="2" t="str">
        <f t="shared" si="69"/>
        <v>Aimee</v>
      </c>
      <c r="D143" t="str" cm="1">
        <f t="array" aca="1" ref="D143" ca="1">IF(_xlfn.XLOOKUP($B143,wordle_ids,wordles)="","",_xlfn.XLOOKUP($B143,wordle_ids,wordles))</f>
        <v>ELDER</v>
      </c>
      <c r="E143" s="10" t="s">
        <v>18</v>
      </c>
    </row>
    <row r="144" spans="1:5" x14ac:dyDescent="0.25">
      <c r="A144" s="2">
        <f t="shared" si="129"/>
        <v>44234</v>
      </c>
      <c r="B144" s="6">
        <f t="shared" si="129"/>
        <v>233</v>
      </c>
      <c r="C144" s="2" t="str">
        <f t="shared" si="69"/>
        <v>Taylor</v>
      </c>
      <c r="D144" t="str" cm="1">
        <f t="array" aca="1" ref="D144" ca="1">IF(_xlfn.XLOOKUP($B144,wordle_ids,wordles)="","",_xlfn.XLOOKUP($B144,wordle_ids,wordles))</f>
        <v>ELDER</v>
      </c>
      <c r="E144" s="10"/>
    </row>
    <row r="145" spans="1:5" x14ac:dyDescent="0.25">
      <c r="A145" s="2">
        <f t="shared" si="129"/>
        <v>44234</v>
      </c>
      <c r="B145" s="6">
        <f t="shared" si="129"/>
        <v>233</v>
      </c>
      <c r="C145" s="2" t="str">
        <f t="shared" si="69"/>
        <v>Carly</v>
      </c>
      <c r="D145" t="str" cm="1">
        <f t="array" aca="1" ref="D145" ca="1">IF(_xlfn.XLOOKUP($B145,wordle_ids,wordles)="","",_xlfn.XLOOKUP($B145,wordle_ids,wordles))</f>
        <v>ELDER</v>
      </c>
      <c r="E145" s="10"/>
    </row>
    <row r="146" spans="1:5" x14ac:dyDescent="0.25">
      <c r="A146" s="2">
        <f t="shared" ref="A146:B146" si="130">A137+1</f>
        <v>44235</v>
      </c>
      <c r="B146" s="6">
        <f t="shared" si="130"/>
        <v>234</v>
      </c>
      <c r="C146" s="2" t="str">
        <f t="shared" si="69"/>
        <v>Phil</v>
      </c>
      <c r="D146" t="str" cm="1">
        <f t="array" aca="1" ref="D146" ca="1">IF(_xlfn.XLOOKUP($B146,wordle_ids,wordles)="","",_xlfn.XLOOKUP($B146,wordle_ids,wordles))</f>
        <v>FRAME</v>
      </c>
      <c r="E146" s="10">
        <v>3</v>
      </c>
    </row>
    <row r="147" spans="1:5" x14ac:dyDescent="0.25">
      <c r="A147" s="2">
        <f t="shared" ref="A147:B147" si="131">A138+1</f>
        <v>44235</v>
      </c>
      <c r="B147" s="6">
        <f t="shared" si="131"/>
        <v>234</v>
      </c>
      <c r="C147" s="2" t="str">
        <f t="shared" si="69"/>
        <v>Erik</v>
      </c>
      <c r="D147" t="str" cm="1">
        <f t="array" aca="1" ref="D147" ca="1">IF(_xlfn.XLOOKUP($B147,wordle_ids,wordles)="","",_xlfn.XLOOKUP($B147,wordle_ids,wordles))</f>
        <v>FRAME</v>
      </c>
      <c r="E147" s="10">
        <v>2</v>
      </c>
    </row>
    <row r="148" spans="1:5" x14ac:dyDescent="0.25">
      <c r="A148" s="2">
        <f t="shared" ref="A148:B148" si="132">A139+1</f>
        <v>44235</v>
      </c>
      <c r="B148" s="6">
        <f t="shared" si="132"/>
        <v>234</v>
      </c>
      <c r="C148" s="2" t="str">
        <f t="shared" si="69"/>
        <v>RoBert</v>
      </c>
      <c r="D148" t="str" cm="1">
        <f t="array" aca="1" ref="D148" ca="1">IF(_xlfn.XLOOKUP($B148,wordle_ids,wordles)="","",_xlfn.XLOOKUP($B148,wordle_ids,wordles))</f>
        <v>FRAME</v>
      </c>
      <c r="E148" s="10">
        <v>4</v>
      </c>
    </row>
    <row r="149" spans="1:5" x14ac:dyDescent="0.25">
      <c r="A149" s="2">
        <f t="shared" ref="A149:B149" si="133">A140+1</f>
        <v>44235</v>
      </c>
      <c r="B149" s="6">
        <f t="shared" si="133"/>
        <v>234</v>
      </c>
      <c r="C149" s="2" t="str">
        <f t="shared" si="69"/>
        <v>Andrew</v>
      </c>
      <c r="D149" t="str" cm="1">
        <f t="array" aca="1" ref="D149" ca="1">IF(_xlfn.XLOOKUP($B149,wordle_ids,wordles)="","",_xlfn.XLOOKUP($B149,wordle_ids,wordles))</f>
        <v>FRAME</v>
      </c>
      <c r="E149" s="10">
        <v>4</v>
      </c>
    </row>
    <row r="150" spans="1:5" x14ac:dyDescent="0.25">
      <c r="A150" s="2">
        <f t="shared" ref="A150:B150" si="134">A141+1</f>
        <v>44235</v>
      </c>
      <c r="B150" s="6">
        <f t="shared" si="134"/>
        <v>234</v>
      </c>
      <c r="C150" s="2" t="str">
        <f t="shared" si="69"/>
        <v>Yoyo</v>
      </c>
      <c r="D150" t="str" cm="1">
        <f t="array" aca="1" ref="D150" ca="1">IF(_xlfn.XLOOKUP($B150,wordle_ids,wordles)="","",_xlfn.XLOOKUP($B150,wordle_ids,wordles))</f>
        <v>FRAME</v>
      </c>
      <c r="E150" s="10">
        <v>5</v>
      </c>
    </row>
    <row r="151" spans="1:5" x14ac:dyDescent="0.25">
      <c r="A151" s="2">
        <f t="shared" ref="A151:B151" si="135">A142+1</f>
        <v>44235</v>
      </c>
      <c r="B151" s="6">
        <f t="shared" si="135"/>
        <v>234</v>
      </c>
      <c r="C151" s="2" t="str">
        <f t="shared" si="69"/>
        <v>Henry</v>
      </c>
      <c r="D151" t="str" cm="1">
        <f t="array" aca="1" ref="D151" ca="1">IF(_xlfn.XLOOKUP($B151,wordle_ids,wordles)="","",_xlfn.XLOOKUP($B151,wordle_ids,wordles))</f>
        <v>FRAME</v>
      </c>
      <c r="E151" s="10">
        <v>6</v>
      </c>
    </row>
    <row r="152" spans="1:5" x14ac:dyDescent="0.25">
      <c r="A152" s="2">
        <f t="shared" ref="A152:B152" si="136">A143+1</f>
        <v>44235</v>
      </c>
      <c r="B152" s="6">
        <f t="shared" si="136"/>
        <v>234</v>
      </c>
      <c r="C152" s="2" t="str">
        <f t="shared" si="69"/>
        <v>Aimee</v>
      </c>
      <c r="D152" t="str" cm="1">
        <f t="array" aca="1" ref="D152" ca="1">IF(_xlfn.XLOOKUP($B152,wordle_ids,wordles)="","",_xlfn.XLOOKUP($B152,wordle_ids,wordles))</f>
        <v>FRAME</v>
      </c>
      <c r="E152" s="10"/>
    </row>
    <row r="153" spans="1:5" x14ac:dyDescent="0.25">
      <c r="A153" s="2">
        <f t="shared" ref="A153:B153" si="137">A144+1</f>
        <v>44235</v>
      </c>
      <c r="B153" s="6">
        <f t="shared" si="137"/>
        <v>234</v>
      </c>
      <c r="C153" s="2" t="str">
        <f t="shared" si="69"/>
        <v>Taylor</v>
      </c>
      <c r="D153" t="str" cm="1">
        <f t="array" aca="1" ref="D153" ca="1">IF(_xlfn.XLOOKUP($B153,wordle_ids,wordles)="","",_xlfn.XLOOKUP($B153,wordle_ids,wordles))</f>
        <v>FRAME</v>
      </c>
      <c r="E153" s="10">
        <v>4</v>
      </c>
    </row>
    <row r="154" spans="1:5" x14ac:dyDescent="0.25">
      <c r="A154" s="2">
        <f t="shared" ref="A154:B154" si="138">A145+1</f>
        <v>44235</v>
      </c>
      <c r="B154" s="6">
        <f t="shared" si="138"/>
        <v>234</v>
      </c>
      <c r="C154" s="2" t="str">
        <f t="shared" si="69"/>
        <v>Carly</v>
      </c>
      <c r="D154" t="str" cm="1">
        <f t="array" aca="1" ref="D154" ca="1">IF(_xlfn.XLOOKUP($B154,wordle_ids,wordles)="","",_xlfn.XLOOKUP($B154,wordle_ids,wordles))</f>
        <v>FRAME</v>
      </c>
      <c r="E154" s="10"/>
    </row>
    <row r="155" spans="1:5" x14ac:dyDescent="0.25">
      <c r="A155" s="2">
        <f t="shared" ref="A155:B155" si="139">A146+1</f>
        <v>44236</v>
      </c>
      <c r="B155" s="6">
        <f t="shared" si="139"/>
        <v>235</v>
      </c>
      <c r="C155" s="2" t="str">
        <f t="shared" si="69"/>
        <v>Phil</v>
      </c>
      <c r="D155" t="str" cm="1">
        <f t="array" aca="1" ref="D155" ca="1">IF(_xlfn.XLOOKUP($B155,wordle_ids,wordles)="","",_xlfn.XLOOKUP($B155,wordle_ids,wordles))</f>
        <v>HUMOR</v>
      </c>
      <c r="E155" s="10">
        <v>6</v>
      </c>
    </row>
    <row r="156" spans="1:5" x14ac:dyDescent="0.25">
      <c r="A156" s="2">
        <f t="shared" ref="A156:B156" si="140">A147+1</f>
        <v>44236</v>
      </c>
      <c r="B156" s="6">
        <f t="shared" si="140"/>
        <v>235</v>
      </c>
      <c r="C156" s="2" t="str">
        <f t="shared" si="69"/>
        <v>Erik</v>
      </c>
      <c r="D156" t="str" cm="1">
        <f t="array" aca="1" ref="D156" ca="1">IF(_xlfn.XLOOKUP($B156,wordle_ids,wordles)="","",_xlfn.XLOOKUP($B156,wordle_ids,wordles))</f>
        <v>HUMOR</v>
      </c>
      <c r="E156" s="10">
        <v>2</v>
      </c>
    </row>
    <row r="157" spans="1:5" x14ac:dyDescent="0.25">
      <c r="A157" s="2">
        <f t="shared" ref="A157:B157" si="141">A148+1</f>
        <v>44236</v>
      </c>
      <c r="B157" s="6">
        <f t="shared" si="141"/>
        <v>235</v>
      </c>
      <c r="C157" s="2" t="str">
        <f t="shared" si="69"/>
        <v>RoBert</v>
      </c>
      <c r="D157" t="str" cm="1">
        <f t="array" aca="1" ref="D157" ca="1">IF(_xlfn.XLOOKUP($B157,wordle_ids,wordles)="","",_xlfn.XLOOKUP($B157,wordle_ids,wordles))</f>
        <v>HUMOR</v>
      </c>
      <c r="E157" s="10">
        <v>3</v>
      </c>
    </row>
    <row r="158" spans="1:5" x14ac:dyDescent="0.25">
      <c r="A158" s="2">
        <f t="shared" ref="A158:B158" si="142">A149+1</f>
        <v>44236</v>
      </c>
      <c r="B158" s="6">
        <f t="shared" si="142"/>
        <v>235</v>
      </c>
      <c r="C158" s="2" t="str">
        <f t="shared" si="69"/>
        <v>Andrew</v>
      </c>
      <c r="D158" t="str" cm="1">
        <f t="array" aca="1" ref="D158" ca="1">IF(_xlfn.XLOOKUP($B158,wordle_ids,wordles)="","",_xlfn.XLOOKUP($B158,wordle_ids,wordles))</f>
        <v>HUMOR</v>
      </c>
      <c r="E158" s="10">
        <v>6</v>
      </c>
    </row>
    <row r="159" spans="1:5" x14ac:dyDescent="0.25">
      <c r="A159" s="2">
        <f t="shared" ref="A159:B159" si="143">A150+1</f>
        <v>44236</v>
      </c>
      <c r="B159" s="6">
        <f t="shared" si="143"/>
        <v>235</v>
      </c>
      <c r="C159" s="2" t="str">
        <f t="shared" si="69"/>
        <v>Yoyo</v>
      </c>
      <c r="D159" t="str" cm="1">
        <f t="array" aca="1" ref="D159" ca="1">IF(_xlfn.XLOOKUP($B159,wordle_ids,wordles)="","",_xlfn.XLOOKUP($B159,wordle_ids,wordles))</f>
        <v>HUMOR</v>
      </c>
      <c r="E159" s="10">
        <v>3</v>
      </c>
    </row>
    <row r="160" spans="1:5" x14ac:dyDescent="0.25">
      <c r="A160" s="2">
        <f t="shared" ref="A160:B160" si="144">A151+1</f>
        <v>44236</v>
      </c>
      <c r="B160" s="6">
        <f t="shared" si="144"/>
        <v>235</v>
      </c>
      <c r="C160" s="2" t="str">
        <f t="shared" si="69"/>
        <v>Henry</v>
      </c>
      <c r="D160" t="str" cm="1">
        <f t="array" aca="1" ref="D160" ca="1">IF(_xlfn.XLOOKUP($B160,wordle_ids,wordles)="","",_xlfn.XLOOKUP($B160,wordle_ids,wordles))</f>
        <v>HUMOR</v>
      </c>
      <c r="E160" s="10">
        <v>5</v>
      </c>
    </row>
    <row r="161" spans="1:5" x14ac:dyDescent="0.25">
      <c r="A161" s="2">
        <f t="shared" ref="A161:B161" si="145">A152+1</f>
        <v>44236</v>
      </c>
      <c r="B161" s="6">
        <f t="shared" si="145"/>
        <v>235</v>
      </c>
      <c r="C161" s="2" t="str">
        <f t="shared" si="69"/>
        <v>Aimee</v>
      </c>
      <c r="D161" t="str" cm="1">
        <f t="array" aca="1" ref="D161" ca="1">IF(_xlfn.XLOOKUP($B161,wordle_ids,wordles)="","",_xlfn.XLOOKUP($B161,wordle_ids,wordles))</f>
        <v>HUMOR</v>
      </c>
      <c r="E161" s="10"/>
    </row>
    <row r="162" spans="1:5" x14ac:dyDescent="0.25">
      <c r="A162" s="2">
        <f t="shared" ref="A162:B162" si="146">A153+1</f>
        <v>44236</v>
      </c>
      <c r="B162" s="6">
        <f t="shared" si="146"/>
        <v>235</v>
      </c>
      <c r="C162" s="2" t="str">
        <f t="shared" si="69"/>
        <v>Taylor</v>
      </c>
      <c r="D162" t="str" cm="1">
        <f t="array" aca="1" ref="D162" ca="1">IF(_xlfn.XLOOKUP($B162,wordle_ids,wordles)="","",_xlfn.XLOOKUP($B162,wordle_ids,wordles))</f>
        <v>HUMOR</v>
      </c>
      <c r="E162" s="10">
        <v>3</v>
      </c>
    </row>
    <row r="163" spans="1:5" x14ac:dyDescent="0.25">
      <c r="A163" s="2">
        <f t="shared" ref="A163:B163" si="147">A154+1</f>
        <v>44236</v>
      </c>
      <c r="B163" s="6">
        <f t="shared" si="147"/>
        <v>235</v>
      </c>
      <c r="C163" s="2" t="str">
        <f t="shared" si="69"/>
        <v>Carly</v>
      </c>
      <c r="D163" t="str" cm="1">
        <f t="array" aca="1" ref="D163" ca="1">IF(_xlfn.XLOOKUP($B163,wordle_ids,wordles)="","",_xlfn.XLOOKUP($B163,wordle_ids,wordles))</f>
        <v>HUMOR</v>
      </c>
      <c r="E163" s="10">
        <v>3</v>
      </c>
    </row>
    <row r="164" spans="1:5" x14ac:dyDescent="0.25">
      <c r="A164" s="2">
        <f t="shared" ref="A164:B164" si="148">A155+1</f>
        <v>44237</v>
      </c>
      <c r="B164" s="6">
        <f t="shared" si="148"/>
        <v>236</v>
      </c>
      <c r="C164" s="2" t="str">
        <f t="shared" si="69"/>
        <v>Phil</v>
      </c>
      <c r="D164" t="str" cm="1">
        <f t="array" aca="1" ref="D164" ca="1">IF(_xlfn.XLOOKUP($B164,wordle_ids,wordles)="","",_xlfn.XLOOKUP($B164,wordle_ids,wordles))</f>
        <v>PAUSE</v>
      </c>
      <c r="E164" s="10">
        <v>5</v>
      </c>
    </row>
    <row r="165" spans="1:5" x14ac:dyDescent="0.25">
      <c r="A165" s="2">
        <f t="shared" ref="A165:B165" si="149">A156+1</f>
        <v>44237</v>
      </c>
      <c r="B165" s="6">
        <f t="shared" si="149"/>
        <v>236</v>
      </c>
      <c r="C165" s="2" t="str">
        <f t="shared" si="69"/>
        <v>Erik</v>
      </c>
      <c r="D165" t="str" cm="1">
        <f t="array" aca="1" ref="D165" ca="1">IF(_xlfn.XLOOKUP($B165,wordle_ids,wordles)="","",_xlfn.XLOOKUP($B165,wordle_ids,wordles))</f>
        <v>PAUSE</v>
      </c>
      <c r="E165" s="10">
        <v>3</v>
      </c>
    </row>
    <row r="166" spans="1:5" x14ac:dyDescent="0.25">
      <c r="A166" s="2">
        <f t="shared" ref="A166:B166" si="150">A157+1</f>
        <v>44237</v>
      </c>
      <c r="B166" s="6">
        <f t="shared" si="150"/>
        <v>236</v>
      </c>
      <c r="C166" s="2" t="str">
        <f t="shared" si="69"/>
        <v>RoBert</v>
      </c>
      <c r="D166" t="str" cm="1">
        <f t="array" aca="1" ref="D166" ca="1">IF(_xlfn.XLOOKUP($B166,wordle_ids,wordles)="","",_xlfn.XLOOKUP($B166,wordle_ids,wordles))</f>
        <v>PAUSE</v>
      </c>
      <c r="E166" s="10">
        <v>4</v>
      </c>
    </row>
    <row r="167" spans="1:5" x14ac:dyDescent="0.25">
      <c r="A167" s="2">
        <f t="shared" ref="A167:B167" si="151">A158+1</f>
        <v>44237</v>
      </c>
      <c r="B167" s="6">
        <f t="shared" si="151"/>
        <v>236</v>
      </c>
      <c r="C167" s="2" t="str">
        <f t="shared" si="69"/>
        <v>Andrew</v>
      </c>
      <c r="D167" t="str" cm="1">
        <f t="array" aca="1" ref="D167" ca="1">IF(_xlfn.XLOOKUP($B167,wordle_ids,wordles)="","",_xlfn.XLOOKUP($B167,wordle_ids,wordles))</f>
        <v>PAUSE</v>
      </c>
      <c r="E167" s="10">
        <v>4</v>
      </c>
    </row>
    <row r="168" spans="1:5" x14ac:dyDescent="0.25">
      <c r="A168" s="2">
        <f t="shared" ref="A168:B168" si="152">A159+1</f>
        <v>44237</v>
      </c>
      <c r="B168" s="6">
        <f t="shared" si="152"/>
        <v>236</v>
      </c>
      <c r="C168" s="2" t="str">
        <f t="shared" si="69"/>
        <v>Yoyo</v>
      </c>
      <c r="D168" t="str" cm="1">
        <f t="array" aca="1" ref="D168" ca="1">IF(_xlfn.XLOOKUP($B168,wordle_ids,wordles)="","",_xlfn.XLOOKUP($B168,wordle_ids,wordles))</f>
        <v>PAUSE</v>
      </c>
      <c r="E168" s="10">
        <v>4</v>
      </c>
    </row>
    <row r="169" spans="1:5" x14ac:dyDescent="0.25">
      <c r="A169" s="2">
        <f t="shared" ref="A169:B169" si="153">A160+1</f>
        <v>44237</v>
      </c>
      <c r="B169" s="6">
        <f t="shared" si="153"/>
        <v>236</v>
      </c>
      <c r="C169" s="2" t="str">
        <f t="shared" si="69"/>
        <v>Henry</v>
      </c>
      <c r="D169" t="str" cm="1">
        <f t="array" aca="1" ref="D169" ca="1">IF(_xlfn.XLOOKUP($B169,wordle_ids,wordles)="","",_xlfn.XLOOKUP($B169,wordle_ids,wordles))</f>
        <v>PAUSE</v>
      </c>
      <c r="E169" s="10">
        <v>6</v>
      </c>
    </row>
    <row r="170" spans="1:5" x14ac:dyDescent="0.25">
      <c r="A170" s="2">
        <f t="shared" ref="A170:B170" si="154">A161+1</f>
        <v>44237</v>
      </c>
      <c r="B170" s="6">
        <f t="shared" si="154"/>
        <v>236</v>
      </c>
      <c r="C170" s="2" t="str">
        <f t="shared" si="69"/>
        <v>Aimee</v>
      </c>
      <c r="D170" t="str" cm="1">
        <f t="array" aca="1" ref="D170" ca="1">IF(_xlfn.XLOOKUP($B170,wordle_ids,wordles)="","",_xlfn.XLOOKUP($B170,wordle_ids,wordles))</f>
        <v>PAUSE</v>
      </c>
      <c r="E170" s="10"/>
    </row>
    <row r="171" spans="1:5" x14ac:dyDescent="0.25">
      <c r="A171" s="2">
        <f t="shared" ref="A171:B171" si="155">A162+1</f>
        <v>44237</v>
      </c>
      <c r="B171" s="6">
        <f t="shared" si="155"/>
        <v>236</v>
      </c>
      <c r="C171" s="2" t="str">
        <f t="shared" si="69"/>
        <v>Taylor</v>
      </c>
      <c r="D171" t="str" cm="1">
        <f t="array" aca="1" ref="D171" ca="1">IF(_xlfn.XLOOKUP($B171,wordle_ids,wordles)="","",_xlfn.XLOOKUP($B171,wordle_ids,wordles))</f>
        <v>PAUSE</v>
      </c>
      <c r="E171" s="10">
        <v>4</v>
      </c>
    </row>
    <row r="172" spans="1:5" x14ac:dyDescent="0.25">
      <c r="A172" s="2">
        <f t="shared" ref="A172:B172" si="156">A163+1</f>
        <v>44237</v>
      </c>
      <c r="B172" s="6">
        <f t="shared" si="156"/>
        <v>236</v>
      </c>
      <c r="C172" s="2" t="str">
        <f t="shared" si="69"/>
        <v>Carly</v>
      </c>
      <c r="D172" t="str" cm="1">
        <f t="array" aca="1" ref="D172" ca="1">IF(_xlfn.XLOOKUP($B172,wordle_ids,wordles)="","",_xlfn.XLOOKUP($B172,wordle_ids,wordles))</f>
        <v>PAUSE</v>
      </c>
      <c r="E172" s="10">
        <v>3</v>
      </c>
    </row>
    <row r="173" spans="1:5" x14ac:dyDescent="0.25">
      <c r="A173" s="2">
        <f t="shared" ref="A173:B173" si="157">A164+1</f>
        <v>44238</v>
      </c>
      <c r="B173" s="6">
        <f t="shared" si="157"/>
        <v>237</v>
      </c>
      <c r="C173" s="2" t="str">
        <f t="shared" si="69"/>
        <v>Phil</v>
      </c>
      <c r="D173" t="str" cm="1">
        <f t="array" aca="1" ref="D173" ca="1">IF(_xlfn.XLOOKUP($B173,wordle_ids,wordles)="","",_xlfn.XLOOKUP($B173,wordle_ids,wordles))</f>
        <v>ULCER</v>
      </c>
      <c r="E173" s="10">
        <v>4</v>
      </c>
    </row>
    <row r="174" spans="1:5" x14ac:dyDescent="0.25">
      <c r="A174" s="2">
        <f t="shared" ref="A174:B174" si="158">A165+1</f>
        <v>44238</v>
      </c>
      <c r="B174" s="6">
        <f t="shared" si="158"/>
        <v>237</v>
      </c>
      <c r="C174" s="2" t="str">
        <f t="shared" si="69"/>
        <v>Erik</v>
      </c>
      <c r="D174" t="str" cm="1">
        <f t="array" aca="1" ref="D174" ca="1">IF(_xlfn.XLOOKUP($B174,wordle_ids,wordles)="","",_xlfn.XLOOKUP($B174,wordle_ids,wordles))</f>
        <v>ULCER</v>
      </c>
      <c r="E174" s="10">
        <v>3</v>
      </c>
    </row>
    <row r="175" spans="1:5" x14ac:dyDescent="0.25">
      <c r="A175" s="2">
        <f t="shared" ref="A175:B175" si="159">A166+1</f>
        <v>44238</v>
      </c>
      <c r="B175" s="6">
        <f t="shared" si="159"/>
        <v>237</v>
      </c>
      <c r="C175" s="2" t="str">
        <f t="shared" si="69"/>
        <v>RoBert</v>
      </c>
      <c r="D175" t="str" cm="1">
        <f t="array" aca="1" ref="D175" ca="1">IF(_xlfn.XLOOKUP($B175,wordle_ids,wordles)="","",_xlfn.XLOOKUP($B175,wordle_ids,wordles))</f>
        <v>ULCER</v>
      </c>
      <c r="E175" s="10">
        <v>4</v>
      </c>
    </row>
    <row r="176" spans="1:5" x14ac:dyDescent="0.25">
      <c r="A176" s="2">
        <f t="shared" ref="A176:B176" si="160">A167+1</f>
        <v>44238</v>
      </c>
      <c r="B176" s="6">
        <f t="shared" si="160"/>
        <v>237</v>
      </c>
      <c r="C176" s="2" t="str">
        <f t="shared" si="69"/>
        <v>Andrew</v>
      </c>
      <c r="D176" t="str" cm="1">
        <f t="array" aca="1" ref="D176" ca="1">IF(_xlfn.XLOOKUP($B176,wordle_ids,wordles)="","",_xlfn.XLOOKUP($B176,wordle_ids,wordles))</f>
        <v>ULCER</v>
      </c>
      <c r="E176" s="10">
        <v>4</v>
      </c>
    </row>
    <row r="177" spans="1:5" x14ac:dyDescent="0.25">
      <c r="A177" s="2">
        <f t="shared" ref="A177:B177" si="161">A168+1</f>
        <v>44238</v>
      </c>
      <c r="B177" s="6">
        <f t="shared" si="161"/>
        <v>237</v>
      </c>
      <c r="C177" s="2" t="str">
        <f t="shared" si="69"/>
        <v>Yoyo</v>
      </c>
      <c r="D177" t="str" cm="1">
        <f t="array" aca="1" ref="D177" ca="1">IF(_xlfn.XLOOKUP($B177,wordle_ids,wordles)="","",_xlfn.XLOOKUP($B177,wordle_ids,wordles))</f>
        <v>ULCER</v>
      </c>
      <c r="E177" s="10">
        <v>6</v>
      </c>
    </row>
    <row r="178" spans="1:5" x14ac:dyDescent="0.25">
      <c r="A178" s="2">
        <f t="shared" ref="A178:B178" si="162">A169+1</f>
        <v>44238</v>
      </c>
      <c r="B178" s="6">
        <f t="shared" si="162"/>
        <v>237</v>
      </c>
      <c r="C178" s="2" t="str">
        <f t="shared" si="69"/>
        <v>Henry</v>
      </c>
      <c r="D178" t="str" cm="1">
        <f t="array" aca="1" ref="D178" ca="1">IF(_xlfn.XLOOKUP($B178,wordle_ids,wordles)="","",_xlfn.XLOOKUP($B178,wordle_ids,wordles))</f>
        <v>ULCER</v>
      </c>
      <c r="E178" s="10">
        <v>5</v>
      </c>
    </row>
    <row r="179" spans="1:5" x14ac:dyDescent="0.25">
      <c r="A179" s="2">
        <f t="shared" ref="A179:B179" si="163">A170+1</f>
        <v>44238</v>
      </c>
      <c r="B179" s="6">
        <f t="shared" si="163"/>
        <v>237</v>
      </c>
      <c r="C179" s="2" t="str">
        <f t="shared" si="69"/>
        <v>Aimee</v>
      </c>
      <c r="D179" t="str" cm="1">
        <f t="array" aca="1" ref="D179" ca="1">IF(_xlfn.XLOOKUP($B179,wordle_ids,wordles)="","",_xlfn.XLOOKUP($B179,wordle_ids,wordles))</f>
        <v>ULCER</v>
      </c>
      <c r="E179" s="10"/>
    </row>
    <row r="180" spans="1:5" x14ac:dyDescent="0.25">
      <c r="A180" s="2">
        <f t="shared" ref="A180:B180" si="164">A171+1</f>
        <v>44238</v>
      </c>
      <c r="B180" s="6">
        <f t="shared" si="164"/>
        <v>237</v>
      </c>
      <c r="C180" s="2" t="str">
        <f t="shared" si="69"/>
        <v>Taylor</v>
      </c>
      <c r="D180" t="str" cm="1">
        <f t="array" aca="1" ref="D180" ca="1">IF(_xlfn.XLOOKUP($B180,wordle_ids,wordles)="","",_xlfn.XLOOKUP($B180,wordle_ids,wordles))</f>
        <v>ULCER</v>
      </c>
      <c r="E180" s="10">
        <v>4</v>
      </c>
    </row>
    <row r="181" spans="1:5" x14ac:dyDescent="0.25">
      <c r="A181" s="2">
        <f t="shared" ref="A181:B181" si="165">A172+1</f>
        <v>44238</v>
      </c>
      <c r="B181" s="6">
        <f t="shared" si="165"/>
        <v>237</v>
      </c>
      <c r="C181" s="2" t="str">
        <f t="shared" si="69"/>
        <v>Carly</v>
      </c>
      <c r="D181" t="str" cm="1">
        <f t="array" aca="1" ref="D181" ca="1">IF(_xlfn.XLOOKUP($B181,wordle_ids,wordles)="","",_xlfn.XLOOKUP($B181,wordle_ids,wordles))</f>
        <v>ULCER</v>
      </c>
      <c r="E181" s="10">
        <v>4</v>
      </c>
    </row>
    <row r="182" spans="1:5" x14ac:dyDescent="0.25">
      <c r="A182" s="2">
        <f t="shared" ref="A182:B182" si="166">A173+1</f>
        <v>44239</v>
      </c>
      <c r="B182" s="6">
        <f t="shared" si="166"/>
        <v>238</v>
      </c>
      <c r="C182" s="2" t="str">
        <f t="shared" si="69"/>
        <v>Phil</v>
      </c>
      <c r="D182" t="str" cm="1">
        <f t="array" aca="1" ref="D182" ca="1">IF(_xlfn.XLOOKUP($B182,wordle_ids,wordles)="","",_xlfn.XLOOKUP($B182,wordle_ids,wordles))</f>
        <v>ULTRA</v>
      </c>
      <c r="E182" s="10">
        <v>4</v>
      </c>
    </row>
    <row r="183" spans="1:5" x14ac:dyDescent="0.25">
      <c r="A183" s="2">
        <f t="shared" ref="A183:B183" si="167">A174+1</f>
        <v>44239</v>
      </c>
      <c r="B183" s="6">
        <f t="shared" si="167"/>
        <v>238</v>
      </c>
      <c r="C183" s="2" t="str">
        <f t="shared" si="69"/>
        <v>Erik</v>
      </c>
      <c r="D183" t="str" cm="1">
        <f t="array" aca="1" ref="D183" ca="1">IF(_xlfn.XLOOKUP($B183,wordle_ids,wordles)="","",_xlfn.XLOOKUP($B183,wordle_ids,wordles))</f>
        <v>ULTRA</v>
      </c>
      <c r="E183" s="10">
        <v>4</v>
      </c>
    </row>
    <row r="184" spans="1:5" x14ac:dyDescent="0.25">
      <c r="A184" s="2">
        <f t="shared" ref="A184:B184" si="168">A175+1</f>
        <v>44239</v>
      </c>
      <c r="B184" s="6">
        <f t="shared" si="168"/>
        <v>238</v>
      </c>
      <c r="C184" s="2" t="str">
        <f t="shared" si="69"/>
        <v>RoBert</v>
      </c>
      <c r="D184" t="str" cm="1">
        <f t="array" aca="1" ref="D184" ca="1">IF(_xlfn.XLOOKUP($B184,wordle_ids,wordles)="","",_xlfn.XLOOKUP($B184,wordle_ids,wordles))</f>
        <v>ULTRA</v>
      </c>
      <c r="E184" s="10">
        <v>3</v>
      </c>
    </row>
    <row r="185" spans="1:5" x14ac:dyDescent="0.25">
      <c r="A185" s="2">
        <f t="shared" ref="A185:B185" si="169">A176+1</f>
        <v>44239</v>
      </c>
      <c r="B185" s="6">
        <f t="shared" si="169"/>
        <v>238</v>
      </c>
      <c r="C185" s="2" t="str">
        <f t="shared" si="69"/>
        <v>Andrew</v>
      </c>
      <c r="D185" t="str" cm="1">
        <f t="array" aca="1" ref="D185" ca="1">IF(_xlfn.XLOOKUP($B185,wordle_ids,wordles)="","",_xlfn.XLOOKUP($B185,wordle_ids,wordles))</f>
        <v>ULTRA</v>
      </c>
      <c r="E185" s="10"/>
    </row>
    <row r="186" spans="1:5" x14ac:dyDescent="0.25">
      <c r="A186" s="2">
        <f t="shared" ref="A186:B186" si="170">A177+1</f>
        <v>44239</v>
      </c>
      <c r="B186" s="6">
        <f t="shared" si="170"/>
        <v>238</v>
      </c>
      <c r="C186" s="2" t="str">
        <f t="shared" si="69"/>
        <v>Yoyo</v>
      </c>
      <c r="D186" t="str" cm="1">
        <f t="array" aca="1" ref="D186" ca="1">IF(_xlfn.XLOOKUP($B186,wordle_ids,wordles)="","",_xlfn.XLOOKUP($B186,wordle_ids,wordles))</f>
        <v>ULTRA</v>
      </c>
      <c r="E186" s="10">
        <v>4</v>
      </c>
    </row>
    <row r="187" spans="1:5" x14ac:dyDescent="0.25">
      <c r="A187" s="2">
        <f t="shared" ref="A187:B187" si="171">A178+1</f>
        <v>44239</v>
      </c>
      <c r="B187" s="6">
        <f t="shared" si="171"/>
        <v>238</v>
      </c>
      <c r="C187" s="2" t="str">
        <f t="shared" si="69"/>
        <v>Henry</v>
      </c>
      <c r="D187" t="str" cm="1">
        <f t="array" aca="1" ref="D187" ca="1">IF(_xlfn.XLOOKUP($B187,wordle_ids,wordles)="","",_xlfn.XLOOKUP($B187,wordle_ids,wordles))</f>
        <v>ULTRA</v>
      </c>
      <c r="E187" s="10">
        <v>4</v>
      </c>
    </row>
    <row r="188" spans="1:5" x14ac:dyDescent="0.25">
      <c r="A188" s="2">
        <f t="shared" ref="A188:B188" si="172">A179+1</f>
        <v>44239</v>
      </c>
      <c r="B188" s="6">
        <f t="shared" si="172"/>
        <v>238</v>
      </c>
      <c r="C188" s="2" t="str">
        <f t="shared" si="69"/>
        <v>Aimee</v>
      </c>
      <c r="D188" t="str" cm="1">
        <f t="array" aca="1" ref="D188" ca="1">IF(_xlfn.XLOOKUP($B188,wordle_ids,wordles)="","",_xlfn.XLOOKUP($B188,wordle_ids,wordles))</f>
        <v>ULTRA</v>
      </c>
      <c r="E188" s="10"/>
    </row>
    <row r="189" spans="1:5" x14ac:dyDescent="0.25">
      <c r="A189" s="2">
        <f t="shared" ref="A189:B189" si="173">A180+1</f>
        <v>44239</v>
      </c>
      <c r="B189" s="6">
        <f t="shared" si="173"/>
        <v>238</v>
      </c>
      <c r="C189" s="2" t="str">
        <f t="shared" si="69"/>
        <v>Taylor</v>
      </c>
      <c r="D189" t="str" cm="1">
        <f t="array" aca="1" ref="D189" ca="1">IF(_xlfn.XLOOKUP($B189,wordle_ids,wordles)="","",_xlfn.XLOOKUP($B189,wordle_ids,wordles))</f>
        <v>ULTRA</v>
      </c>
      <c r="E189" s="10">
        <v>3</v>
      </c>
    </row>
    <row r="190" spans="1:5" x14ac:dyDescent="0.25">
      <c r="A190" s="2">
        <f t="shared" ref="A190:B190" si="174">A181+1</f>
        <v>44239</v>
      </c>
      <c r="B190" s="6">
        <f t="shared" si="174"/>
        <v>238</v>
      </c>
      <c r="C190" s="2" t="str">
        <f t="shared" si="69"/>
        <v>Carly</v>
      </c>
      <c r="D190" t="str" cm="1">
        <f t="array" aca="1" ref="D190" ca="1">IF(_xlfn.XLOOKUP($B190,wordle_ids,wordles)="","",_xlfn.XLOOKUP($B190,wordle_ids,wordles))</f>
        <v>ULTRA</v>
      </c>
      <c r="E190" s="10">
        <v>3</v>
      </c>
    </row>
    <row r="191" spans="1:5" x14ac:dyDescent="0.25">
      <c r="A191" s="2">
        <f t="shared" ref="A191:B191" si="175">A182+1</f>
        <v>44240</v>
      </c>
      <c r="B191" s="6">
        <f t="shared" si="175"/>
        <v>239</v>
      </c>
      <c r="C191" s="2" t="str">
        <f t="shared" si="69"/>
        <v>Phil</v>
      </c>
      <c r="D191" t="str" cm="1">
        <f t="array" aca="1" ref="D191" ca="1">IF(_xlfn.XLOOKUP($B191,wordle_ids,wordles)="","",_xlfn.XLOOKUP($B191,wordle_ids,wordles))</f>
        <v>ROBIN</v>
      </c>
      <c r="E191" s="10">
        <v>3</v>
      </c>
    </row>
    <row r="192" spans="1:5" x14ac:dyDescent="0.25">
      <c r="A192" s="2">
        <f t="shared" ref="A192:B192" si="176">A183+1</f>
        <v>44240</v>
      </c>
      <c r="B192" s="6">
        <f t="shared" si="176"/>
        <v>239</v>
      </c>
      <c r="C192" s="2" t="str">
        <f t="shared" si="69"/>
        <v>Erik</v>
      </c>
      <c r="D192" t="str" cm="1">
        <f t="array" aca="1" ref="D192" ca="1">IF(_xlfn.XLOOKUP($B192,wordle_ids,wordles)="","",_xlfn.XLOOKUP($B192,wordle_ids,wordles))</f>
        <v>ROBIN</v>
      </c>
      <c r="E192" s="10">
        <v>4</v>
      </c>
    </row>
    <row r="193" spans="1:5" x14ac:dyDescent="0.25">
      <c r="A193" s="2">
        <f t="shared" ref="A193:B193" si="177">A184+1</f>
        <v>44240</v>
      </c>
      <c r="B193" s="6">
        <f t="shared" si="177"/>
        <v>239</v>
      </c>
      <c r="C193" s="2" t="str">
        <f t="shared" si="69"/>
        <v>RoBert</v>
      </c>
      <c r="D193" t="str" cm="1">
        <f t="array" aca="1" ref="D193" ca="1">IF(_xlfn.XLOOKUP($B193,wordle_ids,wordles)="","",_xlfn.XLOOKUP($B193,wordle_ids,wordles))</f>
        <v>ROBIN</v>
      </c>
      <c r="E193" s="10">
        <v>3</v>
      </c>
    </row>
    <row r="194" spans="1:5" x14ac:dyDescent="0.25">
      <c r="A194" s="2">
        <f t="shared" ref="A194:B194" si="178">A185+1</f>
        <v>44240</v>
      </c>
      <c r="B194" s="6">
        <f t="shared" si="178"/>
        <v>239</v>
      </c>
      <c r="C194" s="2" t="str">
        <f t="shared" si="69"/>
        <v>Andrew</v>
      </c>
      <c r="D194" t="str" cm="1">
        <f t="array" aca="1" ref="D194" ca="1">IF(_xlfn.XLOOKUP($B194,wordle_ids,wordles)="","",_xlfn.XLOOKUP($B194,wordle_ids,wordles))</f>
        <v>ROBIN</v>
      </c>
      <c r="E194" s="10">
        <v>5</v>
      </c>
    </row>
    <row r="195" spans="1:5" x14ac:dyDescent="0.25">
      <c r="A195" s="2">
        <f t="shared" ref="A195:B195" si="179">A186+1</f>
        <v>44240</v>
      </c>
      <c r="B195" s="6">
        <f t="shared" si="179"/>
        <v>239</v>
      </c>
      <c r="C195" s="2" t="str">
        <f t="shared" si="69"/>
        <v>Yoyo</v>
      </c>
      <c r="D195" t="str" cm="1">
        <f t="array" aca="1" ref="D195" ca="1">IF(_xlfn.XLOOKUP($B195,wordle_ids,wordles)="","",_xlfn.XLOOKUP($B195,wordle_ids,wordles))</f>
        <v>ROBIN</v>
      </c>
      <c r="E195" s="10">
        <v>4</v>
      </c>
    </row>
    <row r="196" spans="1:5" x14ac:dyDescent="0.25">
      <c r="A196" s="2">
        <f t="shared" ref="A196:B196" si="180">A187+1</f>
        <v>44240</v>
      </c>
      <c r="B196" s="6">
        <f t="shared" si="180"/>
        <v>239</v>
      </c>
      <c r="C196" s="2" t="str">
        <f t="shared" si="69"/>
        <v>Henry</v>
      </c>
      <c r="D196" t="str" cm="1">
        <f t="array" aca="1" ref="D196" ca="1">IF(_xlfn.XLOOKUP($B196,wordle_ids,wordles)="","",_xlfn.XLOOKUP($B196,wordle_ids,wordles))</f>
        <v>ROBIN</v>
      </c>
      <c r="E196" s="10"/>
    </row>
    <row r="197" spans="1:5" x14ac:dyDescent="0.25">
      <c r="A197" s="2">
        <f t="shared" ref="A197:B197" si="181">A188+1</f>
        <v>44240</v>
      </c>
      <c r="B197" s="6">
        <f t="shared" si="181"/>
        <v>239</v>
      </c>
      <c r="C197" s="2" t="str">
        <f t="shared" si="69"/>
        <v>Aimee</v>
      </c>
      <c r="D197" t="str" cm="1">
        <f t="array" aca="1" ref="D197" ca="1">IF(_xlfn.XLOOKUP($B197,wordle_ids,wordles)="","",_xlfn.XLOOKUP($B197,wordle_ids,wordles))</f>
        <v>ROBIN</v>
      </c>
      <c r="E197" s="10"/>
    </row>
    <row r="198" spans="1:5" x14ac:dyDescent="0.25">
      <c r="A198" s="2">
        <f t="shared" ref="A198:B198" si="182">A189+1</f>
        <v>44240</v>
      </c>
      <c r="B198" s="6">
        <f t="shared" si="182"/>
        <v>239</v>
      </c>
      <c r="C198" s="2" t="str">
        <f t="shared" si="69"/>
        <v>Taylor</v>
      </c>
      <c r="D198" t="str" cm="1">
        <f t="array" aca="1" ref="D198" ca="1">IF(_xlfn.XLOOKUP($B198,wordle_ids,wordles)="","",_xlfn.XLOOKUP($B198,wordle_ids,wordles))</f>
        <v>ROBIN</v>
      </c>
      <c r="E198" s="10">
        <v>3</v>
      </c>
    </row>
    <row r="199" spans="1:5" x14ac:dyDescent="0.25">
      <c r="A199" s="2">
        <f t="shared" ref="A199:B199" si="183">A190+1</f>
        <v>44240</v>
      </c>
      <c r="B199" s="6">
        <f t="shared" si="183"/>
        <v>239</v>
      </c>
      <c r="C199" s="2" t="str">
        <f t="shared" si="69"/>
        <v>Carly</v>
      </c>
      <c r="D199" t="str" cm="1">
        <f t="array" aca="1" ref="D199" ca="1">IF(_xlfn.XLOOKUP($B199,wordle_ids,wordles)="","",_xlfn.XLOOKUP($B199,wordle_ids,wordles))</f>
        <v>ROBIN</v>
      </c>
      <c r="E199" s="10">
        <v>3</v>
      </c>
    </row>
    <row r="200" spans="1:5" x14ac:dyDescent="0.25">
      <c r="A200" s="2">
        <f t="shared" ref="A200:B200" si="184">A191+1</f>
        <v>44241</v>
      </c>
      <c r="B200" s="6">
        <f t="shared" si="184"/>
        <v>240</v>
      </c>
      <c r="C200" s="2" t="str">
        <f t="shared" si="69"/>
        <v>Phil</v>
      </c>
      <c r="D200" t="str" cm="1">
        <f t="array" aca="1" ref="D200" ca="1">IF(_xlfn.XLOOKUP($B200,wordle_ids,wordles)="","",_xlfn.XLOOKUP($B200,wordle_ids,wordles))</f>
        <v>CYNIC</v>
      </c>
      <c r="E200" s="10">
        <v>3</v>
      </c>
    </row>
    <row r="201" spans="1:5" x14ac:dyDescent="0.25">
      <c r="A201" s="2">
        <f t="shared" ref="A201:B201" si="185">A192+1</f>
        <v>44241</v>
      </c>
      <c r="B201" s="6">
        <f t="shared" si="185"/>
        <v>240</v>
      </c>
      <c r="C201" s="2" t="str">
        <f t="shared" si="69"/>
        <v>Erik</v>
      </c>
      <c r="D201" t="str" cm="1">
        <f t="array" aca="1" ref="D201" ca="1">IF(_xlfn.XLOOKUP($B201,wordle_ids,wordles)="","",_xlfn.XLOOKUP($B201,wordle_ids,wordles))</f>
        <v>CYNIC</v>
      </c>
      <c r="E201" s="10">
        <v>4</v>
      </c>
    </row>
    <row r="202" spans="1:5" x14ac:dyDescent="0.25">
      <c r="A202" s="2">
        <f t="shared" ref="A202:B202" si="186">A193+1</f>
        <v>44241</v>
      </c>
      <c r="B202" s="6">
        <f t="shared" si="186"/>
        <v>240</v>
      </c>
      <c r="C202" s="2" t="str">
        <f t="shared" si="69"/>
        <v>RoBert</v>
      </c>
      <c r="D202" t="str" cm="1">
        <f t="array" aca="1" ref="D202" ca="1">IF(_xlfn.XLOOKUP($B202,wordle_ids,wordles)="","",_xlfn.XLOOKUP($B202,wordle_ids,wordles))</f>
        <v>CYNIC</v>
      </c>
      <c r="E202" s="10">
        <v>5</v>
      </c>
    </row>
    <row r="203" spans="1:5" x14ac:dyDescent="0.25">
      <c r="A203" s="2">
        <f t="shared" ref="A203:B203" si="187">A194+1</f>
        <v>44241</v>
      </c>
      <c r="B203" s="6">
        <f t="shared" si="187"/>
        <v>240</v>
      </c>
      <c r="C203" s="2" t="str">
        <f t="shared" si="69"/>
        <v>Andrew</v>
      </c>
      <c r="D203" t="str" cm="1">
        <f t="array" aca="1" ref="D203" ca="1">IF(_xlfn.XLOOKUP($B203,wordle_ids,wordles)="","",_xlfn.XLOOKUP($B203,wordle_ids,wordles))</f>
        <v>CYNIC</v>
      </c>
      <c r="E203" s="10">
        <v>5</v>
      </c>
    </row>
    <row r="204" spans="1:5" x14ac:dyDescent="0.25">
      <c r="A204" s="2">
        <f t="shared" ref="A204:B204" si="188">A195+1</f>
        <v>44241</v>
      </c>
      <c r="B204" s="6">
        <f t="shared" si="188"/>
        <v>240</v>
      </c>
      <c r="C204" s="2" t="str">
        <f t="shared" si="69"/>
        <v>Yoyo</v>
      </c>
      <c r="D204" t="str" cm="1">
        <f t="array" aca="1" ref="D204" ca="1">IF(_xlfn.XLOOKUP($B204,wordle_ids,wordles)="","",_xlfn.XLOOKUP($B204,wordle_ids,wordles))</f>
        <v>CYNIC</v>
      </c>
      <c r="E204" s="10">
        <v>4</v>
      </c>
    </row>
    <row r="205" spans="1:5" x14ac:dyDescent="0.25">
      <c r="A205" s="2">
        <f t="shared" ref="A205:B205" si="189">A196+1</f>
        <v>44241</v>
      </c>
      <c r="B205" s="6">
        <f t="shared" si="189"/>
        <v>240</v>
      </c>
      <c r="C205" s="2" t="str">
        <f t="shared" si="69"/>
        <v>Henry</v>
      </c>
      <c r="D205" t="str" cm="1">
        <f t="array" aca="1" ref="D205" ca="1">IF(_xlfn.XLOOKUP($B205,wordle_ids,wordles)="","",_xlfn.XLOOKUP($B205,wordle_ids,wordles))</f>
        <v>CYNIC</v>
      </c>
      <c r="E205" s="10"/>
    </row>
    <row r="206" spans="1:5" x14ac:dyDescent="0.25">
      <c r="A206" s="2">
        <f t="shared" ref="A206:B206" si="190">A197+1</f>
        <v>44241</v>
      </c>
      <c r="B206" s="6">
        <f t="shared" si="190"/>
        <v>240</v>
      </c>
      <c r="C206" s="2" t="str">
        <f t="shared" si="69"/>
        <v>Aimee</v>
      </c>
      <c r="D206" t="str" cm="1">
        <f t="array" aca="1" ref="D206" ca="1">IF(_xlfn.XLOOKUP($B206,wordle_ids,wordles)="","",_xlfn.XLOOKUP($B206,wordle_ids,wordles))</f>
        <v>CYNIC</v>
      </c>
      <c r="E206" s="10"/>
    </row>
    <row r="207" spans="1:5" x14ac:dyDescent="0.25">
      <c r="A207" s="2">
        <f t="shared" ref="A207:B207" si="191">A198+1</f>
        <v>44241</v>
      </c>
      <c r="B207" s="6">
        <f t="shared" si="191"/>
        <v>240</v>
      </c>
      <c r="C207" s="2" t="str">
        <f t="shared" si="69"/>
        <v>Taylor</v>
      </c>
      <c r="D207" t="str" cm="1">
        <f t="array" aca="1" ref="D207" ca="1">IF(_xlfn.XLOOKUP($B207,wordle_ids,wordles)="","",_xlfn.XLOOKUP($B207,wordle_ids,wordles))</f>
        <v>CYNIC</v>
      </c>
      <c r="E207" s="10"/>
    </row>
    <row r="208" spans="1:5" x14ac:dyDescent="0.25">
      <c r="A208" s="2">
        <f t="shared" ref="A208:B208" si="192">A199+1</f>
        <v>44241</v>
      </c>
      <c r="B208" s="6">
        <f t="shared" si="192"/>
        <v>240</v>
      </c>
      <c r="C208" s="2" t="str">
        <f t="shared" si="69"/>
        <v>Carly</v>
      </c>
      <c r="D208" t="str" cm="1">
        <f t="array" aca="1" ref="D208" ca="1">IF(_xlfn.XLOOKUP($B208,wordle_ids,wordles)="","",_xlfn.XLOOKUP($B208,wordle_ids,wordles))</f>
        <v>CYNIC</v>
      </c>
      <c r="E208" s="10"/>
    </row>
    <row r="209" spans="5:5" x14ac:dyDescent="0.25">
      <c r="E209" s="10"/>
    </row>
    <row r="210" spans="5:5" x14ac:dyDescent="0.25">
      <c r="E210" s="10"/>
    </row>
    <row r="211" spans="5:5" x14ac:dyDescent="0.25">
      <c r="E211" s="10"/>
    </row>
    <row r="212" spans="5:5" x14ac:dyDescent="0.25">
      <c r="E212" s="10"/>
    </row>
    <row r="213" spans="5:5" x14ac:dyDescent="0.25">
      <c r="E213" s="10"/>
    </row>
    <row r="214" spans="5:5" x14ac:dyDescent="0.25">
      <c r="E214" s="10"/>
    </row>
    <row r="215" spans="5:5" x14ac:dyDescent="0.25">
      <c r="E215" s="10"/>
    </row>
    <row r="216" spans="5:5" x14ac:dyDescent="0.25">
      <c r="E216" s="10"/>
    </row>
    <row r="217" spans="5:5" x14ac:dyDescent="0.25">
      <c r="E217" s="10"/>
    </row>
    <row r="218" spans="5:5" x14ac:dyDescent="0.25">
      <c r="E218" s="10"/>
    </row>
    <row r="219" spans="5:5" x14ac:dyDescent="0.25">
      <c r="E219" s="10"/>
    </row>
    <row r="220" spans="5:5" x14ac:dyDescent="0.25">
      <c r="E220" s="10"/>
    </row>
    <row r="221" spans="5:5" x14ac:dyDescent="0.25">
      <c r="E221" s="10"/>
    </row>
    <row r="222" spans="5:5" x14ac:dyDescent="0.25">
      <c r="E222" s="10"/>
    </row>
    <row r="223" spans="5:5" x14ac:dyDescent="0.25">
      <c r="E223" s="10"/>
    </row>
    <row r="224" spans="5:5" x14ac:dyDescent="0.25">
      <c r="E224" s="10"/>
    </row>
    <row r="225" spans="5:5" x14ac:dyDescent="0.25">
      <c r="E225" s="10"/>
    </row>
    <row r="226" spans="5:5" x14ac:dyDescent="0.25">
      <c r="E226" s="10"/>
    </row>
    <row r="227" spans="5:5" x14ac:dyDescent="0.25">
      <c r="E227" s="10"/>
    </row>
    <row r="228" spans="5:5" x14ac:dyDescent="0.25">
      <c r="E228" s="10"/>
    </row>
    <row r="229" spans="5:5" x14ac:dyDescent="0.25">
      <c r="E229" s="10"/>
    </row>
    <row r="230" spans="5:5" x14ac:dyDescent="0.25">
      <c r="E230" s="10"/>
    </row>
    <row r="231" spans="5:5" x14ac:dyDescent="0.25">
      <c r="E231" s="10"/>
    </row>
    <row r="232" spans="5:5" x14ac:dyDescent="0.25">
      <c r="E232" s="10"/>
    </row>
    <row r="233" spans="5:5" x14ac:dyDescent="0.25">
      <c r="E233" s="10"/>
    </row>
    <row r="234" spans="5:5" x14ac:dyDescent="0.25">
      <c r="E234" s="10"/>
    </row>
    <row r="235" spans="5:5" x14ac:dyDescent="0.25">
      <c r="E235" s="10"/>
    </row>
    <row r="236" spans="5:5" x14ac:dyDescent="0.25">
      <c r="E236" s="10"/>
    </row>
    <row r="237" spans="5:5" x14ac:dyDescent="0.25">
      <c r="E237" s="10"/>
    </row>
    <row r="238" spans="5:5" x14ac:dyDescent="0.25">
      <c r="E238" s="10"/>
    </row>
    <row r="239" spans="5:5" x14ac:dyDescent="0.25">
      <c r="E239" s="10"/>
    </row>
    <row r="240" spans="5:5" x14ac:dyDescent="0.25">
      <c r="E240" s="10"/>
    </row>
    <row r="241" spans="5:5" x14ac:dyDescent="0.25">
      <c r="E241" s="10"/>
    </row>
    <row r="242" spans="5:5" x14ac:dyDescent="0.25">
      <c r="E242" s="10"/>
    </row>
    <row r="243" spans="5:5" x14ac:dyDescent="0.25">
      <c r="E243" s="10"/>
    </row>
    <row r="244" spans="5:5" x14ac:dyDescent="0.25">
      <c r="E244" s="10"/>
    </row>
    <row r="245" spans="5:5" x14ac:dyDescent="0.25">
      <c r="E245" s="10"/>
    </row>
    <row r="246" spans="5:5" x14ac:dyDescent="0.25">
      <c r="E246" s="10"/>
    </row>
    <row r="247" spans="5:5" x14ac:dyDescent="0.25">
      <c r="E247" s="10"/>
    </row>
    <row r="248" spans="5:5" x14ac:dyDescent="0.25">
      <c r="E248" s="10"/>
    </row>
    <row r="249" spans="5:5" x14ac:dyDescent="0.25">
      <c r="E249" s="10"/>
    </row>
    <row r="250" spans="5:5" x14ac:dyDescent="0.25">
      <c r="E250" s="10"/>
    </row>
    <row r="251" spans="5:5" x14ac:dyDescent="0.25">
      <c r="E251" s="10"/>
    </row>
    <row r="252" spans="5:5" x14ac:dyDescent="0.25">
      <c r="E252" s="10"/>
    </row>
    <row r="253" spans="5:5" x14ac:dyDescent="0.25">
      <c r="E253" s="10"/>
    </row>
    <row r="254" spans="5:5" x14ac:dyDescent="0.25">
      <c r="E254" s="10"/>
    </row>
    <row r="255" spans="5:5" x14ac:dyDescent="0.25">
      <c r="E255" s="10"/>
    </row>
    <row r="256" spans="5:5" x14ac:dyDescent="0.25">
      <c r="E256" s="10"/>
    </row>
    <row r="257" spans="5:5" x14ac:dyDescent="0.25">
      <c r="E257" s="10"/>
    </row>
    <row r="258" spans="5:5" x14ac:dyDescent="0.25">
      <c r="E258" s="10"/>
    </row>
    <row r="259" spans="5:5" x14ac:dyDescent="0.25">
      <c r="E259" s="10"/>
    </row>
    <row r="260" spans="5:5" x14ac:dyDescent="0.25">
      <c r="E260" s="10"/>
    </row>
    <row r="261" spans="5:5" x14ac:dyDescent="0.25">
      <c r="E261" s="10"/>
    </row>
    <row r="262" spans="5:5" x14ac:dyDescent="0.25">
      <c r="E262" s="10"/>
    </row>
    <row r="263" spans="5:5" x14ac:dyDescent="0.25">
      <c r="E263" s="10"/>
    </row>
    <row r="264" spans="5:5" x14ac:dyDescent="0.25">
      <c r="E264" s="10"/>
    </row>
    <row r="265" spans="5:5" x14ac:dyDescent="0.25">
      <c r="E265" s="10"/>
    </row>
    <row r="266" spans="5:5" x14ac:dyDescent="0.25">
      <c r="E266" s="10"/>
    </row>
    <row r="267" spans="5:5" x14ac:dyDescent="0.25">
      <c r="E267" s="10"/>
    </row>
    <row r="268" spans="5:5" x14ac:dyDescent="0.25">
      <c r="E268" s="10"/>
    </row>
    <row r="269" spans="5:5" x14ac:dyDescent="0.25">
      <c r="E269" s="10"/>
    </row>
    <row r="270" spans="5:5" x14ac:dyDescent="0.25">
      <c r="E270" s="10"/>
    </row>
    <row r="271" spans="5:5" x14ac:dyDescent="0.25">
      <c r="E271" s="10"/>
    </row>
    <row r="272" spans="5:5" x14ac:dyDescent="0.25">
      <c r="E272" s="10"/>
    </row>
    <row r="273" spans="5:5" x14ac:dyDescent="0.25">
      <c r="E273" s="10"/>
    </row>
    <row r="274" spans="5:5" x14ac:dyDescent="0.25">
      <c r="E274" s="10"/>
    </row>
  </sheetData>
  <autoFilter ref="A1:E143" xr:uid="{2D001387-04E3-4955-8CAF-0DBBBF22CE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7B16-E6A6-4FDA-A605-D8A29593EF93}">
  <sheetPr codeName="Sheet2"/>
  <dimension ref="A1:C24"/>
  <sheetViews>
    <sheetView showGridLines="0" workbookViewId="0">
      <pane ySplit="1" topLeftCell="A2" activePane="bottomLeft" state="frozen"/>
      <selection pane="bottomLeft" activeCell="B37" sqref="B37"/>
    </sheetView>
  </sheetViews>
  <sheetFormatPr defaultRowHeight="15" x14ac:dyDescent="0.25"/>
  <cols>
    <col min="1" max="1" width="9.7109375" bestFit="1" customWidth="1"/>
  </cols>
  <sheetData>
    <row r="1" spans="1:3" x14ac:dyDescent="0.25">
      <c r="A1" s="5" t="s">
        <v>0</v>
      </c>
      <c r="B1" s="1" t="s">
        <v>1</v>
      </c>
      <c r="C1" s="1" t="s">
        <v>2</v>
      </c>
    </row>
    <row r="2" spans="1:3" x14ac:dyDescent="0.25">
      <c r="A2" s="7">
        <v>44584</v>
      </c>
      <c r="B2" s="8">
        <v>218</v>
      </c>
      <c r="C2" s="9" t="s">
        <v>16</v>
      </c>
    </row>
    <row r="3" spans="1:3" x14ac:dyDescent="0.25">
      <c r="A3" s="2">
        <f>A2+1</f>
        <v>44585</v>
      </c>
      <c r="B3" s="6">
        <f t="shared" ref="B3:B24" si="0">B2+1</f>
        <v>219</v>
      </c>
      <c r="C3" s="9" t="s">
        <v>8</v>
      </c>
    </row>
    <row r="4" spans="1:3" x14ac:dyDescent="0.25">
      <c r="A4" s="2">
        <f t="shared" ref="A4:A24" si="1">A3+1</f>
        <v>44586</v>
      </c>
      <c r="B4" s="6">
        <f t="shared" si="0"/>
        <v>220</v>
      </c>
      <c r="C4" s="9" t="s">
        <v>17</v>
      </c>
    </row>
    <row r="5" spans="1:3" x14ac:dyDescent="0.25">
      <c r="A5" s="2">
        <f t="shared" si="1"/>
        <v>44587</v>
      </c>
      <c r="B5" s="6">
        <f t="shared" si="0"/>
        <v>221</v>
      </c>
      <c r="C5" s="9" t="s">
        <v>9</v>
      </c>
    </row>
    <row r="6" spans="1:3" x14ac:dyDescent="0.25">
      <c r="A6" s="2">
        <f t="shared" si="1"/>
        <v>44588</v>
      </c>
      <c r="B6" s="6">
        <f t="shared" si="0"/>
        <v>222</v>
      </c>
      <c r="C6" s="9" t="s">
        <v>10</v>
      </c>
    </row>
    <row r="7" spans="1:3" x14ac:dyDescent="0.25">
      <c r="A7" s="2">
        <f t="shared" si="1"/>
        <v>44589</v>
      </c>
      <c r="B7" s="6">
        <f t="shared" si="0"/>
        <v>223</v>
      </c>
      <c r="C7" s="9" t="s">
        <v>15</v>
      </c>
    </row>
    <row r="8" spans="1:3" x14ac:dyDescent="0.25">
      <c r="A8" s="2">
        <f t="shared" si="1"/>
        <v>44590</v>
      </c>
      <c r="B8" s="6">
        <f t="shared" si="0"/>
        <v>224</v>
      </c>
      <c r="C8" s="9" t="s">
        <v>21</v>
      </c>
    </row>
    <row r="9" spans="1:3" x14ac:dyDescent="0.25">
      <c r="A9" s="2">
        <f t="shared" si="1"/>
        <v>44591</v>
      </c>
      <c r="B9" s="6">
        <f t="shared" si="0"/>
        <v>225</v>
      </c>
      <c r="C9" s="9" t="s">
        <v>19</v>
      </c>
    </row>
    <row r="10" spans="1:3" x14ac:dyDescent="0.25">
      <c r="A10" s="2">
        <f t="shared" si="1"/>
        <v>44592</v>
      </c>
      <c r="B10" s="6">
        <f t="shared" si="0"/>
        <v>226</v>
      </c>
      <c r="C10" s="9" t="s">
        <v>20</v>
      </c>
    </row>
    <row r="11" spans="1:3" x14ac:dyDescent="0.25">
      <c r="A11" s="2">
        <f t="shared" si="1"/>
        <v>44593</v>
      </c>
      <c r="B11" s="6">
        <f t="shared" si="0"/>
        <v>227</v>
      </c>
      <c r="C11" s="9" t="s">
        <v>22</v>
      </c>
    </row>
    <row r="12" spans="1:3" x14ac:dyDescent="0.25">
      <c r="A12" s="2">
        <f t="shared" si="1"/>
        <v>44594</v>
      </c>
      <c r="B12" s="6">
        <f t="shared" si="0"/>
        <v>228</v>
      </c>
      <c r="C12" s="9" t="s">
        <v>23</v>
      </c>
    </row>
    <row r="13" spans="1:3" x14ac:dyDescent="0.25">
      <c r="A13" s="2">
        <f t="shared" si="1"/>
        <v>44595</v>
      </c>
      <c r="B13" s="6">
        <f t="shared" si="0"/>
        <v>229</v>
      </c>
      <c r="C13" s="9" t="s">
        <v>24</v>
      </c>
    </row>
    <row r="14" spans="1:3" x14ac:dyDescent="0.25">
      <c r="A14" s="2">
        <f t="shared" si="1"/>
        <v>44596</v>
      </c>
      <c r="B14" s="6">
        <f t="shared" si="0"/>
        <v>230</v>
      </c>
      <c r="C14" s="9" t="s">
        <v>27</v>
      </c>
    </row>
    <row r="15" spans="1:3" x14ac:dyDescent="0.25">
      <c r="A15" s="2">
        <f t="shared" si="1"/>
        <v>44597</v>
      </c>
      <c r="B15" s="6">
        <f t="shared" si="0"/>
        <v>231</v>
      </c>
      <c r="C15" s="9" t="s">
        <v>26</v>
      </c>
    </row>
    <row r="16" spans="1:3" x14ac:dyDescent="0.25">
      <c r="A16" s="2">
        <f t="shared" si="1"/>
        <v>44598</v>
      </c>
      <c r="B16" s="6">
        <f t="shared" si="0"/>
        <v>232</v>
      </c>
      <c r="C16" s="9" t="s">
        <v>25</v>
      </c>
    </row>
    <row r="17" spans="1:3" x14ac:dyDescent="0.25">
      <c r="A17" s="2">
        <f t="shared" si="1"/>
        <v>44599</v>
      </c>
      <c r="B17" s="6">
        <f t="shared" si="0"/>
        <v>233</v>
      </c>
      <c r="C17" s="9" t="s">
        <v>28</v>
      </c>
    </row>
    <row r="18" spans="1:3" x14ac:dyDescent="0.25">
      <c r="A18" s="2">
        <f t="shared" si="1"/>
        <v>44600</v>
      </c>
      <c r="B18" s="6">
        <f t="shared" si="0"/>
        <v>234</v>
      </c>
      <c r="C18" s="9" t="s">
        <v>31</v>
      </c>
    </row>
    <row r="19" spans="1:3" x14ac:dyDescent="0.25">
      <c r="A19" s="2">
        <f t="shared" si="1"/>
        <v>44601</v>
      </c>
      <c r="B19" s="6">
        <f t="shared" si="0"/>
        <v>235</v>
      </c>
      <c r="C19" s="9" t="s">
        <v>32</v>
      </c>
    </row>
    <row r="20" spans="1:3" x14ac:dyDescent="0.25">
      <c r="A20" s="2">
        <f t="shared" si="1"/>
        <v>44602</v>
      </c>
      <c r="B20" s="6">
        <f t="shared" si="0"/>
        <v>236</v>
      </c>
      <c r="C20" s="9" t="s">
        <v>30</v>
      </c>
    </row>
    <row r="21" spans="1:3" x14ac:dyDescent="0.25">
      <c r="A21" s="2">
        <f t="shared" si="1"/>
        <v>44603</v>
      </c>
      <c r="B21" s="6">
        <f t="shared" si="0"/>
        <v>237</v>
      </c>
      <c r="C21" s="9" t="s">
        <v>35</v>
      </c>
    </row>
    <row r="22" spans="1:3" x14ac:dyDescent="0.25">
      <c r="A22" s="2">
        <f t="shared" si="1"/>
        <v>44604</v>
      </c>
      <c r="B22" s="6">
        <f t="shared" si="0"/>
        <v>238</v>
      </c>
      <c r="C22" s="9" t="s">
        <v>36</v>
      </c>
    </row>
    <row r="23" spans="1:3" x14ac:dyDescent="0.25">
      <c r="A23" s="2">
        <f t="shared" si="1"/>
        <v>44605</v>
      </c>
      <c r="B23" s="6">
        <f t="shared" si="0"/>
        <v>239</v>
      </c>
      <c r="C23" s="9" t="s">
        <v>37</v>
      </c>
    </row>
    <row r="24" spans="1:3" x14ac:dyDescent="0.25">
      <c r="A24" s="2">
        <f t="shared" si="1"/>
        <v>44606</v>
      </c>
      <c r="B24" s="6">
        <f t="shared" si="0"/>
        <v>240</v>
      </c>
      <c r="C24" s="9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Riesenberg</dc:creator>
  <cp:lastModifiedBy>RoBert Riesenberg</cp:lastModifiedBy>
  <dcterms:created xsi:type="dcterms:W3CDTF">2022-01-27T17:15:47Z</dcterms:created>
  <dcterms:modified xsi:type="dcterms:W3CDTF">2022-02-14T22:31:38Z</dcterms:modified>
</cp:coreProperties>
</file>